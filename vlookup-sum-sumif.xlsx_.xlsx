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12"/>
  <workbookPr/>
  <mc:AlternateContent xmlns:mc="http://schemas.openxmlformats.org/markup-compatibility/2006">
    <mc:Choice Requires="x15">
      <x15ac:absPath xmlns:x15ac="http://schemas.microsoft.com/office/spreadsheetml/2010/11/ac" url="D:\excel-tutorials-examples\__XLS - update - Sveta\"/>
    </mc:Choice>
  </mc:AlternateContent>
  <xr:revisionPtr revIDLastSave="0" documentId="13_ncr:1_{6F6BA037-853E-4404-872F-56AAFA236F07}" xr6:coauthVersionLast="45" xr6:coauthVersionMax="45" xr10:uidLastSave="{00000000-0000-0000-0000-000000000000}"/>
  <bookViews>
    <workbookView xWindow="-98" yWindow="-98" windowWidth="28058" windowHeight="16395" xr2:uid="{00000000-000D-0000-FFFF-FFFF00000000}"/>
  </bookViews>
  <sheets>
    <sheet name="VLOOKUP and SUM - examples" sheetId="5" r:id="rId1"/>
    <sheet name="Sum Vlookup" sheetId="6" r:id="rId2"/>
    <sheet name="VLOOKUP calculations" sheetId="8" r:id="rId3"/>
    <sheet name="Lookup and sum" sheetId="10" r:id="rId4"/>
    <sheet name="Vlookup and Sumif" sheetId="1" r:id="rId5"/>
    <sheet name="Monthly sales" sheetId="7" r:id="rId6"/>
    <sheet name="Lookup table" sheetId="4" r:id="rId7"/>
    <sheet name="Lookup table2" sheetId="9" r:id="rId8"/>
  </sheets>
  <definedNames>
    <definedName name="Apples">'Monthly sales'!$B$2:$M$2</definedName>
    <definedName name="Apr">'Monthly sales'!$E$2:$E$9</definedName>
    <definedName name="Aug">'Monthly sales'!$I$2:$I$9</definedName>
    <definedName name="Dec">'Monthly sales'!$M$2:$M$9</definedName>
    <definedName name="Feb">'Monthly sales'!$C$2:$C$9</definedName>
    <definedName name="Grapefruit">'Monthly sales'!$B$3:$M$3</definedName>
    <definedName name="Jan">'Monthly sales'!$B$2:$B$9</definedName>
    <definedName name="Jul">'Monthly sales'!$H$2:$H$9</definedName>
    <definedName name="Jun">'Monthly sales'!$G$2:$G$9</definedName>
    <definedName name="Lemons">'Monthly sales'!$B$4:$M$4</definedName>
    <definedName name="Lime">'Monthly sales'!$B$5:$M$5</definedName>
    <definedName name="Mar">'Monthly sales'!$D$2:$D$9</definedName>
    <definedName name="May">'Monthly sales'!$F$2:$F$9</definedName>
    <definedName name="Nov">'Monthly sales'!$L$2:$L$9</definedName>
    <definedName name="Oct">'Monthly sales'!$K$2:$K$9</definedName>
    <definedName name="Oranges">'Monthly sales'!$B$6:$M$6</definedName>
    <definedName name="Peaches">'Monthly sales'!$B$7:$M$7</definedName>
    <definedName name="Pears">'Monthly sales'!$B$8:$M$8</definedName>
    <definedName name="Pineapples">'Monthly sales'!$B$9:$M$9</definedName>
    <definedName name="price_fruits" localSheetId="7">'Lookup table2'!$A$2:$B$13</definedName>
    <definedName name="Prices">'Vlookup and Sumif'!$A$2:$B$12</definedName>
    <definedName name="Product">'Monthly sales'!$B$2:$M$9</definedName>
    <definedName name="Sep">'Monthly sales'!$J$2:$J$9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 a="1"/>
  <c r="F2" i="10" s="1"/>
  <c r="B2" i="6" a="1"/>
  <c r="B2" i="6"/>
  <c r="B3" i="6" a="1"/>
  <c r="B3" i="6" s="1"/>
  <c r="B4" i="6" a="1"/>
  <c r="B4" i="6" s="1"/>
  <c r="B5" i="6" a="1"/>
  <c r="B5" i="6" s="1"/>
  <c r="B6" i="6" a="1"/>
  <c r="B6" i="6"/>
  <c r="B7" i="6" a="1"/>
  <c r="B7" i="6" s="1"/>
  <c r="B8" i="6" a="1"/>
  <c r="B8" i="6" s="1"/>
  <c r="B9" i="6" a="1"/>
  <c r="B9" i="6" s="1"/>
  <c r="F2" i="8" a="1"/>
  <c r="F2" i="8" s="1"/>
  <c r="F3" i="8" a="1"/>
  <c r="F3" i="8"/>
  <c r="F4" i="8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E2" i="8" a="1"/>
  <c r="E2" i="8" s="1"/>
  <c r="E3" i="8" a="1"/>
  <c r="E3" i="8"/>
  <c r="E4" i="8" a="1"/>
  <c r="E4" i="8" s="1"/>
  <c r="E5" i="8" a="1"/>
  <c r="E5" i="8" s="1"/>
  <c r="E6" i="8" a="1"/>
  <c r="E6" i="8" s="1"/>
  <c r="E7" i="8" a="1"/>
  <c r="E7" i="8" s="1"/>
  <c r="E8" i="8" a="1"/>
  <c r="E8" i="8" s="1"/>
  <c r="E9" i="8" a="1"/>
  <c r="E9" i="8" s="1"/>
  <c r="D2" i="8" a="1"/>
  <c r="D2" i="8" s="1"/>
  <c r="C2" i="8" a="1"/>
  <c r="C2" i="8" s="1"/>
  <c r="B2" i="8" a="1"/>
  <c r="B2" i="8" s="1"/>
  <c r="D3" i="8" a="1"/>
  <c r="D3" i="8" s="1"/>
  <c r="D4" i="8" a="1"/>
  <c r="D4" i="8" s="1"/>
  <c r="D5" i="8" a="1"/>
  <c r="D5" i="8" s="1"/>
  <c r="D6" i="8" a="1"/>
  <c r="D6" i="8"/>
  <c r="D7" i="8" a="1"/>
  <c r="D7" i="8" s="1"/>
  <c r="D8" i="8" a="1"/>
  <c r="D8" i="8"/>
  <c r="D9" i="8" a="1"/>
  <c r="D9" i="8" s="1"/>
  <c r="B3" i="8" a="1"/>
  <c r="B3" i="8" s="1"/>
  <c r="B4" i="8" a="1"/>
  <c r="B4" i="8" s="1"/>
  <c r="B5" i="8" a="1"/>
  <c r="B5" i="8" s="1"/>
  <c r="B6" i="8" a="1"/>
  <c r="B6" i="8" s="1"/>
  <c r="B7" i="8" a="1"/>
  <c r="B7" i="8" s="1"/>
  <c r="B8" i="8" a="1"/>
  <c r="B8" i="8" s="1"/>
  <c r="B9" i="8" a="1"/>
  <c r="B9" i="8" s="1"/>
  <c r="C3" i="8" a="1"/>
  <c r="C3" i="8" s="1"/>
  <c r="C4" i="8" a="1"/>
  <c r="C4" i="8"/>
  <c r="C5" i="8" a="1"/>
  <c r="C5" i="8" s="1"/>
  <c r="C6" i="8" a="1"/>
  <c r="C6" i="8" s="1"/>
  <c r="C7" i="8" a="1"/>
  <c r="C7" i="8" s="1"/>
  <c r="C8" i="8" a="1"/>
  <c r="C8" i="8" s="1"/>
  <c r="C9" i="8" a="1"/>
  <c r="C9" i="8" s="1"/>
  <c r="E2" i="1" l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<sst xmlns="http://schemas.openxmlformats.org/spreadsheetml/2006/main" count="143" uniqueCount="78">
  <si>
    <t>David White</t>
  </si>
  <si>
    <t>Ronnie Anderson</t>
  </si>
  <si>
    <t>Tom Boone</t>
  </si>
  <si>
    <t>Sally Brooke</t>
  </si>
  <si>
    <t>Jeremy Hill</t>
  </si>
  <si>
    <t>Robert Furlan</t>
  </si>
  <si>
    <t>Mattias Waldau</t>
  </si>
  <si>
    <t>Dan Brown</t>
  </si>
  <si>
    <t>Lilly Smith</t>
  </si>
  <si>
    <t>Matt White</t>
  </si>
  <si>
    <t>Robert Acey</t>
  </si>
  <si>
    <t>Name</t>
  </si>
  <si>
    <t>ID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</si>
  <si>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</si>
  <si>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</si>
  <si>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</si>
  <si>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</si>
  <si>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</si>
  <si>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</si>
  <si>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</si>
  <si>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</si>
  <si>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</si>
  <si>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</si>
  <si>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</si>
  <si>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Sales</t>
  </si>
  <si>
    <t xml:space="preserve">Sales person: </t>
  </si>
  <si>
    <t>Sales:</t>
  </si>
  <si>
    <t>Author</t>
  </si>
  <si>
    <t>Ablebits.com</t>
  </si>
  <si>
    <t>Last update</t>
  </si>
  <si>
    <t>Tutorial URL</t>
  </si>
  <si>
    <t>Examples:</t>
  </si>
  <si>
    <t xml:space="preserve">• </t>
  </si>
  <si>
    <t xml:space="preserve"> </t>
  </si>
  <si>
    <t>Sample Workbook to VLOOKUP and SUM in Excel</t>
  </si>
  <si>
    <t>The workbook shows how to use the VLOOKUP and SUM or SUMIF functions together to look up and sum values based on criteria.</t>
  </si>
  <si>
    <t>Product</t>
  </si>
  <si>
    <t>Sales Total</t>
  </si>
  <si>
    <t>Apples</t>
  </si>
  <si>
    <t>Grapefruit</t>
  </si>
  <si>
    <t>Lemons</t>
  </si>
  <si>
    <t>Lime</t>
  </si>
  <si>
    <t>Oranges</t>
  </si>
  <si>
    <t>Peaches</t>
  </si>
  <si>
    <t>Pears</t>
  </si>
  <si>
    <t>Pineapples</t>
  </si>
  <si>
    <t>Jan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</si>
  <si>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</si>
  <si>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</si>
  <si>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</si>
  <si>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</si>
  <si>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</si>
  <si>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</si>
  <si>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</si>
  <si>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</si>
  <si>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</si>
  <si>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</si>
  <si>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</si>
  <si>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</si>
  <si>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Max</t>
  </si>
  <si>
    <t>Min</t>
  </si>
  <si>
    <t>Commission</t>
  </si>
  <si>
    <t>Price, kg</t>
  </si>
  <si>
    <t>Biscuits</t>
  </si>
  <si>
    <t>Cherries</t>
  </si>
  <si>
    <t>Grapes</t>
  </si>
  <si>
    <t>Ice cream</t>
  </si>
  <si>
    <t>Pies</t>
  </si>
  <si>
    <t>Sweets</t>
  </si>
  <si>
    <t xml:space="preserve">Customer </t>
  </si>
  <si>
    <t>Qty. (kg)</t>
  </si>
  <si>
    <t>Customer:</t>
  </si>
  <si>
    <t>Total:</t>
  </si>
  <si>
    <t>Vlookup and calculate</t>
  </si>
  <si>
    <t>Lookup in array and sum matching values</t>
  </si>
  <si>
    <t>Lookup and sum values with criteria</t>
  </si>
  <si>
    <t>Vlookup and sum matching values</t>
  </si>
  <si>
    <t>How to use VLOOKUP with SUM and SUMIF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</si>
</sst>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Border="1"/>
    <xf numFmtId="0" fontId="0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64" fontId="0" fillId="0" borderId="0" xfId="0" applyNumberFormat="1" applyFont="1" applyBorder="1"/>
    <xf numFmtId="164" fontId="2" fillId="0" borderId="0" xfId="0" applyNumberFormat="1" applyFont="1" applyBorder="1"/>
    <xf numFmtId="0" fontId="0" fillId="0" borderId="5" xfId="0" applyBorder="1"/>
    <xf numFmtId="165" fontId="0" fillId="0" borderId="1" xfId="0" applyNumberFormat="1" applyFont="1" applyBorder="1"/>
    <xf numFmtId="0" fontId="0" fillId="0" borderId="6" xfId="0" applyBorder="1"/>
    <xf numFmtId="0" fontId="5" fillId="3" borderId="0" xfId="2" applyFill="1"/>
    <xf numFmtId="0" fontId="5" fillId="3" borderId="0" xfId="2" applyFill="1" applyAlignment="1">
      <alignment horizontal="left"/>
    </xf>
    <xf numFmtId="0" fontId="8" fillId="3" borderId="0" xfId="3" applyFont="1" applyFill="1"/>
    <xf numFmtId="166" fontId="5" fillId="3" borderId="0" xfId="2" applyNumberFormat="1" applyFill="1" applyAlignment="1">
      <alignment horizontal="left"/>
    </xf>
    <xf numFmtId="0" fontId="10" fillId="3" borderId="0" xfId="2" applyFont="1" applyFill="1" applyAlignment="1">
      <alignment vertical="top"/>
    </xf>
    <xf numFmtId="0" fontId="5" fillId="3" borderId="0" xfId="2" applyFill="1" applyAlignment="1">
      <alignment vertical="top"/>
    </xf>
    <xf numFmtId="0" fontId="5" fillId="3" borderId="0" xfId="2" applyFill="1" applyAlignment="1">
      <alignment horizontal="right"/>
    </xf>
    <xf numFmtId="0" fontId="9" fillId="3" borderId="0" xfId="1" applyFont="1" applyFill="1"/>
    <xf numFmtId="0" fontId="12" fillId="0" borderId="0" xfId="4" applyFont="1"/>
    <xf numFmtId="0" fontId="5" fillId="0" borderId="0" xfId="2"/>
    <xf numFmtId="165" fontId="0" fillId="0" borderId="0" xfId="0" applyNumberFormat="1"/>
    <xf numFmtId="0" fontId="0" fillId="4" borderId="0" xfId="0" applyFill="1"/>
    <xf numFmtId="0" fontId="13" fillId="0" borderId="0" xfId="0" applyFont="1" applyAlignment="1">
      <alignment vertical="center"/>
    </xf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Fill="1"/>
    <xf numFmtId="165" fontId="3" fillId="0" borderId="4" xfId="0" applyNumberFormat="1" applyFont="1" applyBorder="1"/>
    <xf numFmtId="165" fontId="3" fillId="0" borderId="0" xfId="0" applyNumberFormat="1" applyFont="1"/>
    <xf numFmtId="164" fontId="3" fillId="0" borderId="4" xfId="0" applyNumberFormat="1" applyFont="1" applyBorder="1"/>
    <xf numFmtId="0" fontId="6" fillId="3" borderId="0" xfId="2" applyFont="1" applyFill="1" applyAlignment="1">
      <alignment horizontal="left"/>
    </xf>
    <xf numFmtId="0" fontId="5" fillId="3" borderId="0" xfId="2" applyFill="1" applyAlignment="1">
      <alignment vertical="top" wrapText="1"/>
    </xf>
    <xf numFmtId="0" fontId="9" fillId="0" borderId="0" xfId="1" applyFont="1" applyFill="1"/>
  </cellXfs>
  <cellStyles count="5">
    <cellStyle name="Hyperlink" xfId="1" builtinId="8"/>
    <cellStyle name="Hyperlink 2" xfId="4" xr:uid="{74EE5207-D510-4E75-81BF-81F8F98845F8}"/>
    <cellStyle name="Hyperlink 3" xfId="3" xr:uid="{243E5EF0-C416-48EB-B64F-DC3C1694F871}"/>
    <cellStyle name="Normal" xfId="0" builtinId="0"/>
    <cellStyle name="Normal 3" xfId="2" xr:uid="{01799620-182D-49D5-9F78-E48FDC18587D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right style="thin">
          <color theme="9"/>
        </right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ablebits.com/excel-suite/index-2020.php?visitfrom=xls-boo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161925</xdr:colOff>
      <xdr:row>2</xdr:row>
      <xdr:rowOff>0</xdr:rowOff>
    </xdr:to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FC9096-A4F0-4C6C-AF03-ED7142D6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14325" y="247650"/>
          <a:ext cx="1209675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28575</xdr:rowOff>
    </xdr:from>
    <xdr:to>
      <xdr:col>2</xdr:col>
      <xdr:colOff>4972050</xdr:colOff>
      <xdr:row>21</xdr:row>
      <xdr:rowOff>114300</xdr:rowOff>
    </xdr:to>
    <xdr:pic>
      <xdr:nvPicPr>
        <xdr:cNvPr id="3" name="Рисунок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8201B0-AA5F-442A-8100-16318AD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4325" y="4352925"/>
          <a:ext cx="6019800" cy="1038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1C33D-4C28-47BD-8622-DD9FDF0B60CE}" name="Table3" displayName="Table3" ref="A1:B9" totalsRowShown="0">
  <autoFilter ref="A1:B9" xr:uid="{00000000-0009-0000-0100-000002000000}">
    <filterColumn colId="0" hiddenButton="1"/>
    <filterColumn colId="1" hiddenButton="1"/>
  </autoFilter>
  <tableColumns count="2">
    <tableColumn id="1" xr3:uid="{555FE798-ABB6-4671-BCF5-E2C4D2CDD5BA}" name="Product"/>
    <tableColumn id="2" xr3:uid="{F7EA2269-B776-4805-99DC-59ABC8A0CD3E}" name="Sales Total" dataDxfId="31">
      <calculatedColumnFormula array="1">SUM(VLOOKUP(Table3[[#This Row],[Product]], Sales[], {2,3,4,5,6,7,8,9,10,11,12,13}, FALSE))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AFA954-8014-4AA4-8D16-2734020F67F2}" name="Table4" displayName="Table4" ref="A1:F9" totalsRowShown="0">
  <autoFilter ref="A1:F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9AD2BD0-3AE1-404A-A79C-190660A18496}" name="Product"/>
    <tableColumn id="2" xr3:uid="{34D3ABAA-0DF7-4B82-881A-12471F2A74E7}" name="Sales Total" dataDxfId="30">
      <calculatedColumnFormula array="1">SUM(VLOOKUP(Table4[[#This Row],[Product]], Sales[], {2,3,4,5,6,7,8,9,10,11,12,13}, FALSE))</calculatedColumnFormula>
    </tableColumn>
    <tableColumn id="3" xr3:uid="{2410F90F-859B-4B3C-9D77-61DCC3002223}" name="Average" dataDxfId="29">
      <calculatedColumnFormula array="1">AVERAGE(VLOOKUP(A2, Sales[], {2,3,4}, FALSE))</calculatedColumnFormula>
    </tableColumn>
    <tableColumn id="4" xr3:uid="{FD95F621-38D1-4B83-B8A0-9DB4F1CFCA22}" name="Max" dataDxfId="28">
      <calculatedColumnFormula array="1">MAX(VLOOKUP(Table4[[#This Row],[Product]], Sales[], {2,3,4,5,6,7,8,9,10,11,12,13}, FALSE))</calculatedColumnFormula>
    </tableColumn>
    <tableColumn id="5" xr3:uid="{9206EF2C-E058-4528-8958-DD38C6F0DBD3}" name="Min" dataDxfId="27">
      <calculatedColumnFormula array="1">MIN(VLOOKUP(Table4[[#This Row],[Product]], Sales[], {2,3,4,5,6,7,8,9,10,11,12,13}, FALSE))</calculatedColumnFormula>
    </tableColumn>
    <tableColumn id="6" xr3:uid="{A08F9F5F-2579-4BE6-BB1D-A8D619BC0AA9}" name="Commission" dataDxfId="26">
      <calculatedColumnFormula array="1">0.3*SUM(VLOOKUP(Table4[[#This Row],[Product]], Sales[], {2,3,4,5,6,7,8,9,10,11,12,13}, FALSE))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DCD6B6-0118-4CF9-A61E-9F127CB53AFF}" name="Table2" displayName="Table2" ref="A1:C10" totalsRowShown="0">
  <autoFilter ref="A1:C10" xr:uid="{00000000-0009-0000-0100-000002000000}">
    <filterColumn colId="0" hiddenButton="1"/>
    <filterColumn colId="1" hiddenButton="1"/>
    <filterColumn colId="2" hiddenButton="1"/>
  </autoFilter>
  <tableColumns count="3">
    <tableColumn id="1" xr3:uid="{42827E54-D915-4AEB-B99F-96EC0E997871}" name="Customer "/>
    <tableColumn id="2" xr3:uid="{A3016D12-74FD-46C8-A5FE-C289B8E5EA01}" name="Product"/>
    <tableColumn id="3" xr3:uid="{B9527953-E1DF-492A-A78B-57BE9BCF7293}" name="Qty. (kg)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Main_table" displayName="Main_table" ref="A1:B12" totalsRowShown="0" headerRowDxfId="25" tableBorderDxfId="24">
  <autoFilter ref="A1:B12" xr:uid="{00000000-0009-0000-0100-000005000000}">
    <filterColumn colId="0" hiddenButton="1"/>
    <filterColumn colId="1" hiddenButton="1"/>
  </autoFilter>
  <tableColumns count="2">
    <tableColumn id="1" xr3:uid="{00000000-0010-0000-0100-000001000000}" name="ID" dataDxfId="23"/>
    <tableColumn id="2" xr3:uid="{00000000-0010-0000-0100-000002000000}" name="Sales" dataDxfId="2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6538D-312A-4E98-8204-F5B215755221}" name="Sales" displayName="Sales" ref="A1:M9" totalsRowShown="0">
  <autoFilter ref="A1:M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xmlns:xlrd2="http://schemas.microsoft.com/office/spreadsheetml/2017/richdata2" ref="A2:M9">
    <sortCondition ref="A1:A9"/>
  </sortState>
  <tableColumns count="13">
    <tableColumn id="1" xr3:uid="{0CAAE59C-3AFD-4F87-BA7E-9F773DAEDA1A}" name="Product" dataDxfId="21"/>
    <tableColumn id="2" xr3:uid="{D65396BB-98E3-4968-AB29-6B3078429793}" name="Jan" dataDxfId="20"/>
    <tableColumn id="3" xr3:uid="{0427D9AF-5218-4435-9230-D8DA7031354E}" name="Feb " dataDxfId="19"/>
    <tableColumn id="4" xr3:uid="{818A819A-02F9-4036-A4D1-0BBEFD6C1F16}" name="Mar" dataDxfId="18"/>
    <tableColumn id="5" xr3:uid="{13FAC442-35A5-4D60-88E7-3BAFF69B958F}" name="Apr" dataDxfId="17"/>
    <tableColumn id="6" xr3:uid="{CDE7BCBC-C666-4362-8F2B-98452CC3952A}" name="May" dataDxfId="16"/>
    <tableColumn id="7" xr3:uid="{44874367-8DF7-496F-84B4-BC24E3587FC0}" name="Jun" dataDxfId="15"/>
    <tableColumn id="8" xr3:uid="{C4425376-0105-4D42-91FC-9EEFDEB9B3FF}" name="Jul" dataDxfId="14"/>
    <tableColumn id="9" xr3:uid="{F86FED38-1014-4D32-9E7E-C5BBFA631DE9}" name="Aug" dataDxfId="13"/>
    <tableColumn id="10" xr3:uid="{9C6E8430-A709-4E80-AAAD-254B8A809A6D}" name="Sep" dataDxfId="12"/>
    <tableColumn id="11" xr3:uid="{885F0FCA-5398-422A-BB9F-DDE53D070BBB}" name="Oct" dataDxfId="11"/>
    <tableColumn id="12" xr3:uid="{BA211E7E-9628-4064-AABC-9C35080A9057}" name="Nov" dataDxfId="10"/>
    <tableColumn id="13" xr3:uid="{D84A4A52-6DCF-4868-97D9-BEBB2D384B80}" name="Dec" dataDxfId="9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ookup_table" displayName="Lookup_table" ref="A1:B12" totalsRowShown="0" headerRowDxfId="8" dataDxfId="7" tableBorderDxfId="6">
  <autoFilter ref="A1:B12" xr:uid="{00000000-0009-0000-0100-000006000000}">
    <filterColumn colId="0" hiddenButton="1"/>
    <filterColumn colId="1" hiddenButton="1"/>
  </autoFilter>
  <tableColumns count="2">
    <tableColumn id="1" xr3:uid="{00000000-0010-0000-0000-000001000000}" name="Name" dataDxfId="5"/>
    <tableColumn id="2" xr3:uid="{00000000-0010-0000-0000-000002000000}" name="ID" dataDxfId="4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06A9D-F48C-45D3-B165-5B1DDEA18F90}" name="Lookup_table2" displayName="Lookup_table2" ref="A1:B10" totalsRowShown="0" headerRowDxfId="3" tableBorderDxfId="2">
  <autoFilter ref="A1:B10" xr:uid="{00000000-0009-0000-0100-000001000000}">
    <filterColumn colId="0" hiddenButton="1"/>
    <filterColumn colId="1" hiddenButton="1"/>
  </autoFilter>
  <sortState xmlns:xlrd2="http://schemas.microsoft.com/office/spreadsheetml/2017/richdata2" ref="A2:B10">
    <sortCondition ref="A8"/>
  </sortState>
  <tableColumns count="2">
    <tableColumn id="1" xr3:uid="{0D1080AD-93A8-4559-A4BD-6E72305716DF}" name="Product" dataDxfId="1"/>
    <tableColumn id="2" xr3:uid="{6A645B54-58E1-454C-8659-5D828869AF51}" name="Price, kg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lebits.com/office-addins-blog/2014/08/05/excel-vlookup-sum-sumif/" TargetMode="External"/><Relationship Id="rId1" Type="http://schemas.openxmlformats.org/officeDocument/2006/relationships/hyperlink" Target="https://www.ablebit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3728-0CAD-4A33-B235-740AFA1E3CDB}">
  <sheetPr codeName="Sheet1"/>
  <dimension ref="A1:G18"/>
  <sheetViews>
    <sheetView showGridLines="0" tabSelected="1" workbookViewId="0">
      <selection activeCell="B4" sqref="B4:C4"/>
    </sheetView>
  </sheetViews>
  <sheetFormatPr defaultColWidth="9.1328125" defaultRowHeight="14.25" x14ac:dyDescent="0.45"/>
  <cols>
    <col min="1" max="1" width="4.73046875" style="10" customWidth="1"/>
    <col min="2" max="2" width="15.73046875" style="10" customWidth="1"/>
    <col min="3" max="3" width="93.265625" style="10" customWidth="1"/>
    <col min="4" max="16384" width="9.1328125" style="10"/>
  </cols>
  <sheetData>
    <row r="1" spans="1:4" ht="20.100000000000001" customHeight="1" x14ac:dyDescent="0.45"/>
    <row r="3" spans="1:4" ht="20.100000000000001" customHeight="1" x14ac:dyDescent="0.45"/>
    <row r="4" spans="1:4" ht="35.1" customHeight="1" x14ac:dyDescent="1">
      <c r="B4" s="31" t="s">
        <v>34</v>
      </c>
      <c r="C4" s="31"/>
    </row>
    <row r="5" spans="1:4" ht="15" customHeight="1" x14ac:dyDescent="0.45"/>
    <row r="6" spans="1:4" ht="45" customHeight="1" x14ac:dyDescent="0.45">
      <c r="B6" s="32" t="s">
        <v>35</v>
      </c>
      <c r="C6" s="32"/>
    </row>
    <row r="7" spans="1:4" ht="15.95" customHeight="1" x14ac:dyDescent="0.45">
      <c r="B7" s="11" t="s">
        <v>27</v>
      </c>
      <c r="C7" s="12" t="s">
        <v>28</v>
      </c>
    </row>
    <row r="8" spans="1:4" ht="15.95" customHeight="1" x14ac:dyDescent="0.45">
      <c r="B8" s="11" t="s">
        <v>29</v>
      </c>
      <c r="C8" s="13">
        <v>44154</v>
      </c>
    </row>
    <row r="9" spans="1:4" ht="15.95" customHeight="1" x14ac:dyDescent="0.45">
      <c r="B9" s="11" t="s">
        <v>30</v>
      </c>
      <c r="C9" s="33" t="s">
        <v>77</v>
      </c>
      <c r="D9" s="33"/>
    </row>
    <row r="10" spans="1:4" x14ac:dyDescent="0.45">
      <c r="B10" s="11"/>
      <c r="C10" s="12"/>
    </row>
    <row r="11" spans="1:4" ht="20.25" customHeight="1" x14ac:dyDescent="0.45">
      <c r="B11" s="14" t="s">
        <v>31</v>
      </c>
      <c r="C11" s="15"/>
    </row>
    <row r="12" spans="1:4" s="19" customFormat="1" ht="15.95" customHeight="1" x14ac:dyDescent="0.45">
      <c r="A12" s="16" t="s">
        <v>32</v>
      </c>
      <c r="B12" s="17" t="s">
        <v>76</v>
      </c>
      <c r="C12" s="18"/>
    </row>
    <row r="13" spans="1:4" s="19" customFormat="1" ht="15.95" customHeight="1" x14ac:dyDescent="0.45">
      <c r="A13" s="16" t="s">
        <v>32</v>
      </c>
      <c r="B13" s="17" t="s">
        <v>73</v>
      </c>
      <c r="C13" s="18"/>
    </row>
    <row r="14" spans="1:4" s="19" customFormat="1" ht="15.95" customHeight="1" x14ac:dyDescent="0.45">
      <c r="A14" s="16" t="s">
        <v>32</v>
      </c>
      <c r="B14" s="17" t="s">
        <v>74</v>
      </c>
      <c r="C14" s="18"/>
    </row>
    <row r="15" spans="1:4" s="19" customFormat="1" ht="15.95" customHeight="1" x14ac:dyDescent="0.45">
      <c r="A15" s="16" t="s">
        <v>32</v>
      </c>
      <c r="B15" s="17" t="s">
        <v>75</v>
      </c>
      <c r="C15" s="18"/>
    </row>
    <row r="16" spans="1:4" s="19" customFormat="1" x14ac:dyDescent="0.45"/>
    <row r="18" spans="7:7" x14ac:dyDescent="0.45">
      <c r="G18" s="10" t="s">
        <v>33</v>
      </c>
    </row>
  </sheetData>
  <mergeCells count="3">
    <mergeCell ref="B4:C4"/>
    <mergeCell ref="B6:C6"/>
    <mergeCell ref="C9:D9"/>
  </mergeCells>
  <hyperlinks>
    <hyperlink ref="C7" r:id="rId1" display="https://www.Ablebits.com" xr:uid="{0C5D974D-92AE-4E7C-B90B-59FA9536C740}"/>
    <hyperlink ref="C9:D9" r:id="rId2" display="How to use VLOOKUP with SUM or SUMIF functions" xr:uid="{804E8DCC-3A94-4203-9D94-0CF2CF32FE8B}"/>
    <hyperlink ref="B12" location="'Sum Vlookup'!B2" display="Vlookup and sum matching values" xr:uid="{7BB9B279-8139-4A1E-8ACA-9C667996C7EF}"/>
    <hyperlink ref="B13" location="'VLOOKUP calculations'!B2" display="Vlookup and calculate" xr:uid="{57B99A56-E704-4AA9-97BA-2192145D6B4B}"/>
    <hyperlink ref="B14" location="'Lookup and sum'!F2" display="Lookup in array and sum matching values" xr:uid="{2352CD23-CEAA-4548-A1CB-ED54AE04C399}"/>
    <hyperlink ref="B15" location="'Vlookup and Sumif'!E2" display="Lookup and sum values with criteria" xr:uid="{51A81D96-7A9F-4B6A-86DE-508FB31FF70D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4C5A-D8D4-46E2-8145-2DEC21B287C9}">
  <dimension ref="A1:P17"/>
  <sheetViews>
    <sheetView workbookViewId="0">
      <selection activeCell="B2" sqref="B2"/>
    </sheetView>
  </sheetViews>
  <sheetFormatPr defaultRowHeight="14.25" x14ac:dyDescent="0.45"/>
  <cols>
    <col min="1" max="1" width="12.86328125" customWidth="1"/>
    <col min="2" max="2" width="11.86328125" customWidth="1"/>
    <col min="3" max="3" width="11.73046875" customWidth="1"/>
    <col min="4" max="4" width="10.3984375" customWidth="1"/>
    <col min="5" max="5" width="11" customWidth="1"/>
    <col min="6" max="6" width="12.3984375" customWidth="1"/>
  </cols>
  <sheetData>
    <row r="1" spans="1:14" x14ac:dyDescent="0.45">
      <c r="A1" t="s">
        <v>36</v>
      </c>
      <c r="B1" t="s">
        <v>37</v>
      </c>
    </row>
    <row r="2" spans="1:14" x14ac:dyDescent="0.45">
      <c r="A2" t="s">
        <v>38</v>
      </c>
      <c r="B2" s="29" cm="1">
        <f t="array" ref="B2">SUM(VLOOKUP(Table3[[#This Row],[Product]], Sales[], {2,3,4,5,6,7,8,9,10,11,12,13}, FALSE))</f>
        <v>172008</v>
      </c>
    </row>
    <row r="3" spans="1:14" x14ac:dyDescent="0.45">
      <c r="A3" t="s">
        <v>39</v>
      </c>
      <c r="B3" s="20" cm="1">
        <f t="array" ref="B3">SUM(VLOOKUP(Table3[[#This Row],[Product]], Sales[], {2,3,4,5,6,7,8,9,10,11,12,13}, FALSE))</f>
        <v>125792</v>
      </c>
    </row>
    <row r="4" spans="1:14" x14ac:dyDescent="0.45">
      <c r="A4" t="s">
        <v>40</v>
      </c>
      <c r="B4" s="20" cm="1">
        <f t="array" ref="B4">SUM(VLOOKUP(Table3[[#This Row],[Product]], Sales[], {2,3,4,5,6,7,8,9,10,11,12,13}, FALSE))</f>
        <v>170764</v>
      </c>
    </row>
    <row r="5" spans="1:14" x14ac:dyDescent="0.45">
      <c r="A5" t="s">
        <v>41</v>
      </c>
      <c r="B5" s="20" cm="1">
        <f t="array" ref="B5">SUM(VLOOKUP(Table3[[#This Row],[Product]], Sales[], {2,3,4,5,6,7,8,9,10,11,12,13}, FALSE))</f>
        <v>174251</v>
      </c>
    </row>
    <row r="6" spans="1:14" x14ac:dyDescent="0.45">
      <c r="A6" t="s">
        <v>42</v>
      </c>
      <c r="B6" s="20" cm="1">
        <f t="array" ref="B6">SUM(VLOOKUP(Table3[[#This Row],[Product]], Sales[], {2,3,4,5,6,7,8,9,10,11,12,13}, FALSE))</f>
        <v>146400</v>
      </c>
    </row>
    <row r="7" spans="1:14" x14ac:dyDescent="0.45">
      <c r="A7" t="s">
        <v>43</v>
      </c>
      <c r="B7" s="20" cm="1">
        <f t="array" ref="B7">SUM(VLOOKUP(Table3[[#This Row],[Product]], Sales[], {2,3,4,5,6,7,8,9,10,11,12,13}, FALSE))</f>
        <v>162693</v>
      </c>
    </row>
    <row r="8" spans="1:14" x14ac:dyDescent="0.45">
      <c r="A8" t="s">
        <v>44</v>
      </c>
      <c r="B8" s="20" cm="1">
        <f t="array" ref="B8">SUM(VLOOKUP(Table3[[#This Row],[Product]], Sales[], {2,3,4,5,6,7,8,9,10,11,12,13}, FALSE))</f>
        <v>188148</v>
      </c>
      <c r="F8" t="s">
        <v>33</v>
      </c>
    </row>
    <row r="9" spans="1:14" x14ac:dyDescent="0.45">
      <c r="A9" t="s">
        <v>45</v>
      </c>
      <c r="B9" s="20" cm="1">
        <f t="array" ref="B9">SUM(VLOOKUP(Table3[[#This Row],[Product]], Sales[], {2,3,4,5,6,7,8,9,10,11,12,13}, FALSE))</f>
        <v>186574</v>
      </c>
    </row>
    <row r="16" spans="1:14" x14ac:dyDescent="0.45">
      <c r="N16" t="s">
        <v>33</v>
      </c>
    </row>
    <row r="17" spans="16:16" x14ac:dyDescent="0.45">
      <c r="P17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2C6D-6BDE-4C22-9C28-428B81D230E4}">
  <dimension ref="A1:P17"/>
  <sheetViews>
    <sheetView workbookViewId="0">
      <selection activeCell="B2" sqref="B2"/>
    </sheetView>
  </sheetViews>
  <sheetFormatPr defaultRowHeight="14.25" x14ac:dyDescent="0.45"/>
  <cols>
    <col min="1" max="1" width="12.86328125" customWidth="1"/>
    <col min="2" max="2" width="11.86328125" customWidth="1"/>
    <col min="3" max="3" width="11.73046875" customWidth="1"/>
    <col min="4" max="4" width="10.3984375" customWidth="1"/>
    <col min="5" max="5" width="11" customWidth="1"/>
    <col min="6" max="6" width="12.3984375" customWidth="1"/>
  </cols>
  <sheetData>
    <row r="1" spans="1:14" x14ac:dyDescent="0.45">
      <c r="A1" t="s">
        <v>36</v>
      </c>
      <c r="B1" t="s">
        <v>37</v>
      </c>
      <c r="C1" t="s">
        <v>58</v>
      </c>
      <c r="D1" t="s">
        <v>59</v>
      </c>
      <c r="E1" t="s">
        <v>60</v>
      </c>
      <c r="F1" t="s">
        <v>61</v>
      </c>
    </row>
    <row r="2" spans="1:14" x14ac:dyDescent="0.45">
      <c r="A2" t="s">
        <v>38</v>
      </c>
      <c r="B2" s="20">
        <f t="array" ref="B2">SUM(VLOOKUP(Table4[[#This Row],[Product]], Sales[], {2,3,4,5,6,7,8,9,10,11,12,13}, FALSE))</f>
        <v>172008</v>
      </c>
      <c r="C2" s="20">
        <f t="array" ref="C2">AVERAGE(VLOOKUP(A2, Sales[], {2,3,4}, FALSE))</f>
        <v>8729.6666666666661</v>
      </c>
      <c r="D2" s="20">
        <f t="array" ref="D2">MAX(VLOOKUP(Table4[[#This Row],[Product]], Sales[], {2,3,4,5,6,7,8,9,10,11,12,13}, FALSE))</f>
        <v>28799</v>
      </c>
      <c r="E2" s="20" cm="1">
        <f t="array" ref="E2">MIN(VLOOKUP(Table4[[#This Row],[Product]], Sales[], {2,3,4,5,6,7,8,9,10,11,12,13}, FALSE))</f>
        <v>1348</v>
      </c>
      <c r="F2" s="20" cm="1">
        <f t="array" ref="F2">0.3*SUM(VLOOKUP(Table4[[#This Row],[Product]], Sales[], {2,3,4,5,6,7,8,9,10,11,12,13}, FALSE))</f>
        <v>51602.400000000001</v>
      </c>
    </row>
    <row r="3" spans="1:14" x14ac:dyDescent="0.45">
      <c r="A3" t="s">
        <v>39</v>
      </c>
      <c r="B3" s="20" cm="1">
        <f t="array" ref="B3">SUM(VLOOKUP(Table4[[#This Row],[Product]], Sales[], {2,3,4,5,6,7,8,9,10,11,12,13}, FALSE))</f>
        <v>125792</v>
      </c>
      <c r="C3" s="20" cm="1">
        <f t="array" ref="C3">AVERAGE(VLOOKUP(A3, Sales[], {2,3,4}, FALSE))</f>
        <v>13494.333333333334</v>
      </c>
      <c r="D3" s="20" cm="1">
        <f t="array" ref="D3">MAX(VLOOKUP(Table4[[#This Row],[Product]], Sales[], {2,3,4,5,6,7,8,9,10,11,12,13}, FALSE))</f>
        <v>26249</v>
      </c>
      <c r="E3" s="20" cm="1">
        <f t="array" ref="E3">MIN(VLOOKUP(Table4[[#This Row],[Product]], Sales[], {2,3,4,5,6,7,8,9,10,11,12,13}, FALSE))</f>
        <v>1080</v>
      </c>
      <c r="F3" s="20" cm="1">
        <f t="array" ref="F3">0.3*SUM(VLOOKUP(Table4[[#This Row],[Product]], Sales[], {2,3,4,5,6,7,8,9,10,11,12,13}, FALSE))</f>
        <v>37737.599999999999</v>
      </c>
    </row>
    <row r="4" spans="1:14" x14ac:dyDescent="0.45">
      <c r="A4" t="s">
        <v>40</v>
      </c>
      <c r="B4" s="20" cm="1">
        <f t="array" ref="B4">SUM(VLOOKUP(Table4[[#This Row],[Product]], Sales[], {2,3,4,5,6,7,8,9,10,11,12,13}, FALSE))</f>
        <v>170764</v>
      </c>
      <c r="C4" s="20" cm="1">
        <f t="array" ref="C4">AVERAGE(VLOOKUP(A4, Sales[], {2,3,4}, FALSE))</f>
        <v>9731</v>
      </c>
      <c r="D4" s="20" cm="1">
        <f t="array" ref="D4">MAX(VLOOKUP(Table4[[#This Row],[Product]], Sales[], {2,3,4,5,6,7,8,9,10,11,12,13}, FALSE))</f>
        <v>24982</v>
      </c>
      <c r="E4" s="20" cm="1">
        <f t="array" ref="E4">MIN(VLOOKUP(Table4[[#This Row],[Product]], Sales[], {2,3,4,5,6,7,8,9,10,11,12,13}, FALSE))</f>
        <v>5664</v>
      </c>
      <c r="F4" s="20" cm="1">
        <f t="array" ref="F4">0.3*SUM(VLOOKUP(Table4[[#This Row],[Product]], Sales[], {2,3,4,5,6,7,8,9,10,11,12,13}, FALSE))</f>
        <v>51229.2</v>
      </c>
    </row>
    <row r="5" spans="1:14" x14ac:dyDescent="0.45">
      <c r="A5" t="s">
        <v>41</v>
      </c>
      <c r="B5" s="20" cm="1">
        <f t="array" ref="B5">SUM(VLOOKUP(Table4[[#This Row],[Product]], Sales[], {2,3,4,5,6,7,8,9,10,11,12,13}, FALSE))</f>
        <v>174251</v>
      </c>
      <c r="C5" s="20" cm="1">
        <f t="array" ref="C5">AVERAGE(VLOOKUP(A5, Sales[], {2,3,4}, FALSE))</f>
        <v>16789.666666666668</v>
      </c>
      <c r="D5" s="20" cm="1">
        <f t="array" ref="D5">MAX(VLOOKUP(Table4[[#This Row],[Product]], Sales[], {2,3,4,5,6,7,8,9,10,11,12,13}, FALSE))</f>
        <v>28913</v>
      </c>
      <c r="E5" s="20" cm="1">
        <f t="array" ref="E5">MIN(VLOOKUP(Table4[[#This Row],[Product]], Sales[], {2,3,4,5,6,7,8,9,10,11,12,13}, FALSE))</f>
        <v>1026</v>
      </c>
      <c r="F5" s="20" cm="1">
        <f t="array" ref="F5">0.3*SUM(VLOOKUP(Table4[[#This Row],[Product]], Sales[], {2,3,4,5,6,7,8,9,10,11,12,13}, FALSE))</f>
        <v>52275.299999999996</v>
      </c>
    </row>
    <row r="6" spans="1:14" x14ac:dyDescent="0.45">
      <c r="A6" t="s">
        <v>42</v>
      </c>
      <c r="B6" s="20" cm="1">
        <f t="array" ref="B6">SUM(VLOOKUP(Table4[[#This Row],[Product]], Sales[], {2,3,4,5,6,7,8,9,10,11,12,13}, FALSE))</f>
        <v>146400</v>
      </c>
      <c r="C6" s="20" cm="1">
        <f t="array" ref="C6">AVERAGE(VLOOKUP(A6, Sales[], {2,3,4}, FALSE))</f>
        <v>13769.333333333334</v>
      </c>
      <c r="D6" s="20" cm="1">
        <f t="array" ref="D6">MAX(VLOOKUP(Table4[[#This Row],[Product]], Sales[], {2,3,4,5,6,7,8,9,10,11,12,13}, FALSE))</f>
        <v>28918</v>
      </c>
      <c r="E6" s="20" cm="1">
        <f t="array" ref="E6">MIN(VLOOKUP(Table4[[#This Row],[Product]], Sales[], {2,3,4,5,6,7,8,9,10,11,12,13}, FALSE))</f>
        <v>3578</v>
      </c>
      <c r="F6" s="20" cm="1">
        <f t="array" ref="F6">0.3*SUM(VLOOKUP(Table4[[#This Row],[Product]], Sales[], {2,3,4,5,6,7,8,9,10,11,12,13}, FALSE))</f>
        <v>43920</v>
      </c>
    </row>
    <row r="7" spans="1:14" x14ac:dyDescent="0.45">
      <c r="A7" t="s">
        <v>43</v>
      </c>
      <c r="B7" s="20" cm="1">
        <f t="array" ref="B7">SUM(VLOOKUP(Table4[[#This Row],[Product]], Sales[], {2,3,4,5,6,7,8,9,10,11,12,13}, FALSE))</f>
        <v>162693</v>
      </c>
      <c r="C7" s="20" cm="1">
        <f t="array" ref="C7">AVERAGE(VLOOKUP(A7, Sales[], {2,3,4}, FALSE))</f>
        <v>7742.333333333333</v>
      </c>
      <c r="D7" s="20" cm="1">
        <f t="array" ref="D7">MAX(VLOOKUP(Table4[[#This Row],[Product]], Sales[], {2,3,4,5,6,7,8,9,10,11,12,13}, FALSE))</f>
        <v>29962</v>
      </c>
      <c r="E7" s="20" cm="1">
        <f t="array" ref="E7">MIN(VLOOKUP(Table4[[#This Row],[Product]], Sales[], {2,3,4,5,6,7,8,9,10,11,12,13}, FALSE))</f>
        <v>2137</v>
      </c>
      <c r="F7" s="20" cm="1">
        <f t="array" ref="F7">0.3*SUM(VLOOKUP(Table4[[#This Row],[Product]], Sales[], {2,3,4,5,6,7,8,9,10,11,12,13}, FALSE))</f>
        <v>48807.9</v>
      </c>
    </row>
    <row r="8" spans="1:14" x14ac:dyDescent="0.45">
      <c r="A8" t="s">
        <v>44</v>
      </c>
      <c r="B8" s="20" cm="1">
        <f t="array" ref="B8">SUM(VLOOKUP(Table4[[#This Row],[Product]], Sales[], {2,3,4,5,6,7,8,9,10,11,12,13}, FALSE))</f>
        <v>188148</v>
      </c>
      <c r="C8" s="20" cm="1">
        <f t="array" ref="C8">AVERAGE(VLOOKUP(A8, Sales[], {2,3,4}, FALSE))</f>
        <v>18569</v>
      </c>
      <c r="D8" s="20" cm="1">
        <f t="array" ref="D8">MAX(VLOOKUP(Table4[[#This Row],[Product]], Sales[], {2,3,4,5,6,7,8,9,10,11,12,13}, FALSE))</f>
        <v>28917</v>
      </c>
      <c r="E8" s="20" cm="1">
        <f t="array" ref="E8">MIN(VLOOKUP(Table4[[#This Row],[Product]], Sales[], {2,3,4,5,6,7,8,9,10,11,12,13}, FALSE))</f>
        <v>1643</v>
      </c>
      <c r="F8" s="20" cm="1">
        <f t="array" ref="F8">0.3*SUM(VLOOKUP(Table4[[#This Row],[Product]], Sales[], {2,3,4,5,6,7,8,9,10,11,12,13}, FALSE))</f>
        <v>56444.4</v>
      </c>
    </row>
    <row r="9" spans="1:14" x14ac:dyDescent="0.45">
      <c r="A9" t="s">
        <v>45</v>
      </c>
      <c r="B9" s="20" cm="1">
        <f t="array" ref="B9">SUM(VLOOKUP(Table4[[#This Row],[Product]], Sales[], {2,3,4,5,6,7,8,9,10,11,12,13}, FALSE))</f>
        <v>186574</v>
      </c>
      <c r="C9" s="20" cm="1">
        <f t="array" ref="C9">AVERAGE(VLOOKUP(A9, Sales[], {2,3,4}, FALSE))</f>
        <v>15116.333333333334</v>
      </c>
      <c r="D9" s="20" cm="1">
        <f t="array" ref="D9">MAX(VLOOKUP(Table4[[#This Row],[Product]], Sales[], {2,3,4,5,6,7,8,9,10,11,12,13}, FALSE))</f>
        <v>27890</v>
      </c>
      <c r="E9" s="20" cm="1">
        <f t="array" ref="E9">MIN(VLOOKUP(Table4[[#This Row],[Product]], Sales[], {2,3,4,5,6,7,8,9,10,11,12,13}, FALSE))</f>
        <v>3334</v>
      </c>
      <c r="F9" s="20" cm="1">
        <f t="array" ref="F9">0.3*SUM(VLOOKUP(Table4[[#This Row],[Product]], Sales[], {2,3,4,5,6,7,8,9,10,11,12,13}, FALSE))</f>
        <v>55972.2</v>
      </c>
    </row>
    <row r="16" spans="1:14" x14ac:dyDescent="0.45">
      <c r="N16" t="s">
        <v>33</v>
      </c>
    </row>
    <row r="17" spans="16:16" x14ac:dyDescent="0.45">
      <c r="P17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6CFE-D279-41A1-8F2B-314FCF321902}">
  <dimension ref="A1:F10"/>
  <sheetViews>
    <sheetView workbookViewId="0">
      <selection activeCell="F2" sqref="F2"/>
    </sheetView>
  </sheetViews>
  <sheetFormatPr defaultRowHeight="14.25" x14ac:dyDescent="0.45"/>
  <cols>
    <col min="1" max="1" width="16.73046875" customWidth="1"/>
    <col min="2" max="2" width="10.3984375" customWidth="1"/>
    <col min="3" max="3" width="8.59765625" customWidth="1"/>
    <col min="5" max="5" width="14.86328125" customWidth="1"/>
    <col min="6" max="6" width="17.59765625" customWidth="1"/>
  </cols>
  <sheetData>
    <row r="1" spans="1:6" x14ac:dyDescent="0.45">
      <c r="A1" t="s">
        <v>69</v>
      </c>
      <c r="B1" t="s">
        <v>36</v>
      </c>
      <c r="C1" t="s">
        <v>70</v>
      </c>
      <c r="E1" s="3" t="s">
        <v>71</v>
      </c>
      <c r="F1" s="9" t="s">
        <v>8</v>
      </c>
    </row>
    <row r="2" spans="1:6" x14ac:dyDescent="0.45">
      <c r="A2" t="s">
        <v>1</v>
      </c>
      <c r="B2" t="s">
        <v>38</v>
      </c>
      <c r="C2">
        <v>2.1</v>
      </c>
      <c r="E2" s="4" t="s">
        <v>72</v>
      </c>
      <c r="F2" s="30">
        <f t="array" ref="F2">SUM(LOOKUP($B$2:$B$10, Lookup_table2[Product], Lookup_table2[Price, kg])*$C$2:$C$10*($A$2:$A$10=$F$1))</f>
        <v>122.58999999999999</v>
      </c>
    </row>
    <row r="3" spans="1:6" x14ac:dyDescent="0.45">
      <c r="A3" t="s">
        <v>1</v>
      </c>
      <c r="B3" t="s">
        <v>40</v>
      </c>
      <c r="C3">
        <v>1</v>
      </c>
    </row>
    <row r="4" spans="1:6" x14ac:dyDescent="0.45">
      <c r="A4" t="s">
        <v>2</v>
      </c>
      <c r="B4" t="s">
        <v>38</v>
      </c>
      <c r="C4">
        <v>7</v>
      </c>
    </row>
    <row r="5" spans="1:6" x14ac:dyDescent="0.45">
      <c r="A5" t="s">
        <v>8</v>
      </c>
      <c r="B5" s="27" t="s">
        <v>67</v>
      </c>
      <c r="C5">
        <v>12</v>
      </c>
    </row>
    <row r="6" spans="1:6" x14ac:dyDescent="0.45">
      <c r="A6" t="s">
        <v>2</v>
      </c>
      <c r="B6" s="27" t="s">
        <v>68</v>
      </c>
      <c r="C6" s="27">
        <v>1</v>
      </c>
    </row>
    <row r="7" spans="1:6" x14ac:dyDescent="0.45">
      <c r="A7" t="s">
        <v>8</v>
      </c>
      <c r="B7" s="27" t="s">
        <v>63</v>
      </c>
      <c r="C7" s="27">
        <v>3</v>
      </c>
    </row>
    <row r="8" spans="1:6" x14ac:dyDescent="0.45">
      <c r="A8" t="s">
        <v>8</v>
      </c>
      <c r="B8" s="27" t="s">
        <v>38</v>
      </c>
      <c r="C8" s="27">
        <v>10</v>
      </c>
    </row>
    <row r="9" spans="1:6" x14ac:dyDescent="0.45">
      <c r="A9" t="s">
        <v>1</v>
      </c>
      <c r="B9" s="27" t="s">
        <v>67</v>
      </c>
      <c r="C9" s="27">
        <v>2</v>
      </c>
    </row>
    <row r="10" spans="1:6" x14ac:dyDescent="0.45">
      <c r="A10" t="s">
        <v>8</v>
      </c>
      <c r="B10" s="27" t="s">
        <v>42</v>
      </c>
      <c r="C10" s="27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E2" sqref="E2"/>
    </sheetView>
  </sheetViews>
  <sheetFormatPr defaultRowHeight="14.25" x14ac:dyDescent="0.45"/>
  <cols>
    <col min="1" max="1" width="11.3984375" customWidth="1"/>
    <col min="2" max="2" width="13.265625" customWidth="1"/>
    <col min="3" max="3" width="12.265625" customWidth="1"/>
    <col min="4" max="4" width="13.86328125" customWidth="1"/>
    <col min="5" max="5" width="11.1328125" bestFit="1" customWidth="1"/>
  </cols>
  <sheetData>
    <row r="1" spans="1:5" x14ac:dyDescent="0.45">
      <c r="A1" s="1" t="s">
        <v>12</v>
      </c>
      <c r="B1" s="1" t="s">
        <v>24</v>
      </c>
      <c r="D1" s="3" t="s">
        <v>25</v>
      </c>
      <c r="E1" s="7" t="s">
        <v>7</v>
      </c>
    </row>
    <row r="2" spans="1:5" x14ac:dyDescent="0.45">
      <c r="A2" s="2" t="s">
        <v>15</v>
      </c>
      <c r="B2" s="8">
        <v>10450</v>
      </c>
      <c r="C2" s="5"/>
      <c r="D2" s="4" t="s">
        <v>26</v>
      </c>
      <c r="E2" s="28">
        <f t="array" ref="E2">SUMIF(Main_table[ID],VLOOKUP($E$1,Lookup_table[],2,FALSE),Main_table[Sales])</f>
        <v>13349.3</v>
      </c>
    </row>
    <row r="3" spans="1:5" x14ac:dyDescent="0.45">
      <c r="A3" s="2" t="s">
        <v>15</v>
      </c>
      <c r="B3" s="8">
        <v>2000.75</v>
      </c>
      <c r="C3" s="5"/>
    </row>
    <row r="4" spans="1:5" x14ac:dyDescent="0.45">
      <c r="A4" s="2" t="s">
        <v>17</v>
      </c>
      <c r="B4" s="8">
        <v>1900</v>
      </c>
      <c r="C4" s="5"/>
    </row>
    <row r="5" spans="1:5" x14ac:dyDescent="0.45">
      <c r="A5" s="2" t="s">
        <v>20</v>
      </c>
      <c r="B5" s="8">
        <v>7832.1</v>
      </c>
      <c r="C5" s="5"/>
    </row>
    <row r="6" spans="1:5" x14ac:dyDescent="0.45">
      <c r="A6" s="2" t="s">
        <v>17</v>
      </c>
      <c r="B6" s="8">
        <v>192.9</v>
      </c>
      <c r="C6" s="5"/>
    </row>
    <row r="7" spans="1:5" x14ac:dyDescent="0.45">
      <c r="A7" s="2" t="s">
        <v>20</v>
      </c>
      <c r="B7" s="8">
        <v>1500</v>
      </c>
      <c r="C7" s="5"/>
    </row>
    <row r="8" spans="1:5" x14ac:dyDescent="0.45">
      <c r="A8" s="2" t="s">
        <v>20</v>
      </c>
      <c r="B8" s="8">
        <v>3900.2</v>
      </c>
      <c r="C8" s="6"/>
    </row>
    <row r="9" spans="1:5" x14ac:dyDescent="0.45">
      <c r="A9" s="2" t="s">
        <v>16</v>
      </c>
      <c r="B9" s="8">
        <v>346</v>
      </c>
    </row>
    <row r="10" spans="1:5" x14ac:dyDescent="0.45">
      <c r="A10" s="2" t="s">
        <v>16</v>
      </c>
      <c r="B10" s="8">
        <v>263</v>
      </c>
    </row>
    <row r="11" spans="1:5" x14ac:dyDescent="0.45">
      <c r="A11" s="2" t="s">
        <v>16</v>
      </c>
      <c r="B11" s="8">
        <v>344</v>
      </c>
    </row>
    <row r="12" spans="1:5" x14ac:dyDescent="0.45">
      <c r="A12" s="2" t="s">
        <v>20</v>
      </c>
      <c r="B12" s="8">
        <v>117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E14D-07B4-456E-A4E9-283A51AC274E}">
  <dimension ref="A1:M21"/>
  <sheetViews>
    <sheetView zoomScaleNormal="100" workbookViewId="0">
      <selection activeCell="B2" sqref="B2"/>
    </sheetView>
  </sheetViews>
  <sheetFormatPr defaultRowHeight="14.25" x14ac:dyDescent="0.45"/>
  <cols>
    <col min="1" max="1" width="12.265625" customWidth="1"/>
  </cols>
  <sheetData>
    <row r="1" spans="1:13" x14ac:dyDescent="0.45">
      <c r="A1" t="s">
        <v>36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 x14ac:dyDescent="0.45">
      <c r="A2" s="21" t="s">
        <v>38</v>
      </c>
      <c r="B2" s="20">
        <v>2773</v>
      </c>
      <c r="C2" s="20">
        <v>17462</v>
      </c>
      <c r="D2" s="20">
        <v>5954</v>
      </c>
      <c r="E2" s="20">
        <v>1348</v>
      </c>
      <c r="F2" s="20">
        <v>28158</v>
      </c>
      <c r="G2" s="20">
        <v>28799</v>
      </c>
      <c r="H2" s="20">
        <v>25415</v>
      </c>
      <c r="I2" s="20">
        <v>17227</v>
      </c>
      <c r="J2" s="20">
        <v>26478</v>
      </c>
      <c r="K2" s="20">
        <v>10214</v>
      </c>
      <c r="L2" s="20">
        <v>2444</v>
      </c>
      <c r="M2" s="20">
        <v>5736</v>
      </c>
    </row>
    <row r="3" spans="1:13" x14ac:dyDescent="0.45">
      <c r="A3" s="21" t="s">
        <v>39</v>
      </c>
      <c r="B3" s="20">
        <v>12908</v>
      </c>
      <c r="C3" s="20">
        <v>3083</v>
      </c>
      <c r="D3" s="20">
        <v>24492</v>
      </c>
      <c r="E3" s="20">
        <v>5825</v>
      </c>
      <c r="F3" s="20">
        <v>1080</v>
      </c>
      <c r="G3" s="20">
        <v>2188</v>
      </c>
      <c r="H3" s="20">
        <v>11087</v>
      </c>
      <c r="I3" s="20">
        <v>15544</v>
      </c>
      <c r="J3" s="20">
        <v>7826</v>
      </c>
      <c r="K3" s="20">
        <v>4761</v>
      </c>
      <c r="L3" s="20">
        <v>10749</v>
      </c>
      <c r="M3" s="20">
        <v>26249</v>
      </c>
    </row>
    <row r="4" spans="1:13" x14ac:dyDescent="0.45">
      <c r="A4" s="21" t="s">
        <v>40</v>
      </c>
      <c r="B4" s="20">
        <v>6554</v>
      </c>
      <c r="C4" s="20">
        <v>14262</v>
      </c>
      <c r="D4" s="20">
        <v>8377</v>
      </c>
      <c r="E4" s="20">
        <v>24982</v>
      </c>
      <c r="F4" s="20">
        <v>12184</v>
      </c>
      <c r="G4" s="20">
        <v>6430</v>
      </c>
      <c r="H4" s="20">
        <v>21159</v>
      </c>
      <c r="I4" s="20">
        <v>18597</v>
      </c>
      <c r="J4" s="20">
        <v>17682</v>
      </c>
      <c r="K4" s="20">
        <v>5664</v>
      </c>
      <c r="L4" s="20">
        <v>10878</v>
      </c>
      <c r="M4" s="20">
        <v>23995</v>
      </c>
    </row>
    <row r="5" spans="1:13" x14ac:dyDescent="0.45">
      <c r="A5" s="21" t="s">
        <v>41</v>
      </c>
      <c r="B5" s="20">
        <v>28913</v>
      </c>
      <c r="C5" s="20">
        <v>1437</v>
      </c>
      <c r="D5" s="20">
        <v>20019</v>
      </c>
      <c r="E5" s="20">
        <v>13026</v>
      </c>
      <c r="F5" s="20">
        <v>26952</v>
      </c>
      <c r="G5" s="20">
        <v>27076</v>
      </c>
      <c r="H5" s="20">
        <v>7040</v>
      </c>
      <c r="I5" s="20">
        <v>10884</v>
      </c>
      <c r="J5" s="20">
        <v>16158</v>
      </c>
      <c r="K5" s="20">
        <v>16462</v>
      </c>
      <c r="L5" s="20">
        <v>5258</v>
      </c>
      <c r="M5" s="20">
        <v>1026</v>
      </c>
    </row>
    <row r="6" spans="1:13" x14ac:dyDescent="0.45">
      <c r="A6" s="21" t="s">
        <v>42</v>
      </c>
      <c r="B6" s="20">
        <v>4768</v>
      </c>
      <c r="C6" s="20">
        <v>7622</v>
      </c>
      <c r="D6" s="20">
        <v>28918</v>
      </c>
      <c r="E6" s="20">
        <v>27141</v>
      </c>
      <c r="F6" s="20">
        <v>3578</v>
      </c>
      <c r="G6" s="20">
        <v>10092</v>
      </c>
      <c r="H6" s="20">
        <v>15207</v>
      </c>
      <c r="I6" s="20">
        <v>12771</v>
      </c>
      <c r="J6" s="20">
        <v>6809</v>
      </c>
      <c r="K6" s="20">
        <v>11551</v>
      </c>
      <c r="L6" s="20">
        <v>3870</v>
      </c>
      <c r="M6" s="20">
        <v>14073</v>
      </c>
    </row>
    <row r="7" spans="1:13" x14ac:dyDescent="0.45">
      <c r="A7" s="21" t="s">
        <v>43</v>
      </c>
      <c r="B7" s="20">
        <v>13390</v>
      </c>
      <c r="C7" s="20">
        <v>3611</v>
      </c>
      <c r="D7" s="20">
        <v>6226</v>
      </c>
      <c r="E7" s="20">
        <v>27567</v>
      </c>
      <c r="F7" s="20">
        <v>29962</v>
      </c>
      <c r="G7" s="20">
        <v>2967</v>
      </c>
      <c r="H7" s="20">
        <v>5740</v>
      </c>
      <c r="I7" s="20">
        <v>2137</v>
      </c>
      <c r="J7" s="20">
        <v>10733</v>
      </c>
      <c r="K7" s="20">
        <v>2154</v>
      </c>
      <c r="L7" s="20">
        <v>28279</v>
      </c>
      <c r="M7" s="20">
        <v>29927</v>
      </c>
    </row>
    <row r="8" spans="1:13" x14ac:dyDescent="0.45">
      <c r="A8" s="21" t="s">
        <v>44</v>
      </c>
      <c r="B8" s="20">
        <v>17585</v>
      </c>
      <c r="C8" s="20">
        <v>28508</v>
      </c>
      <c r="D8" s="20">
        <v>9614</v>
      </c>
      <c r="E8" s="20">
        <v>17110</v>
      </c>
      <c r="F8" s="20">
        <v>12143</v>
      </c>
      <c r="G8" s="20">
        <v>7365</v>
      </c>
      <c r="H8" s="20">
        <v>24185</v>
      </c>
      <c r="I8" s="20">
        <v>1643</v>
      </c>
      <c r="J8" s="20">
        <v>3779</v>
      </c>
      <c r="K8" s="20">
        <v>25739</v>
      </c>
      <c r="L8" s="20">
        <v>28917</v>
      </c>
      <c r="M8" s="20">
        <v>11560</v>
      </c>
    </row>
    <row r="9" spans="1:13" x14ac:dyDescent="0.45">
      <c r="A9" s="21" t="s">
        <v>45</v>
      </c>
      <c r="B9" s="20">
        <v>22579</v>
      </c>
      <c r="C9" s="20">
        <v>16301</v>
      </c>
      <c r="D9" s="20">
        <v>6469</v>
      </c>
      <c r="E9" s="20">
        <v>22050</v>
      </c>
      <c r="F9" s="20">
        <v>8740</v>
      </c>
      <c r="G9" s="20">
        <v>18806</v>
      </c>
      <c r="H9" s="20">
        <v>3334</v>
      </c>
      <c r="I9" s="20">
        <v>3597</v>
      </c>
      <c r="J9" s="20">
        <v>11720</v>
      </c>
      <c r="K9" s="20">
        <v>27890</v>
      </c>
      <c r="L9" s="20">
        <v>21614</v>
      </c>
      <c r="M9" s="20">
        <v>23474</v>
      </c>
    </row>
    <row r="12" spans="1:13" x14ac:dyDescent="0.45">
      <c r="A12" s="22"/>
    </row>
    <row r="13" spans="1:13" x14ac:dyDescent="0.45">
      <c r="A13" s="22"/>
    </row>
    <row r="21" spans="5:5" x14ac:dyDescent="0.45">
      <c r="E21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25" x14ac:dyDescent="0.45"/>
  <cols>
    <col min="1" max="1" width="16.3984375" bestFit="1" customWidth="1"/>
    <col min="2" max="2" width="8.3984375" customWidth="1"/>
  </cols>
  <sheetData>
    <row r="1" spans="1:2" x14ac:dyDescent="0.45">
      <c r="A1" s="1" t="s">
        <v>11</v>
      </c>
      <c r="B1" s="1" t="s">
        <v>12</v>
      </c>
    </row>
    <row r="2" spans="1:2" x14ac:dyDescent="0.45">
      <c r="A2" s="2" t="s">
        <v>0</v>
      </c>
      <c r="B2" s="2" t="s">
        <v>13</v>
      </c>
    </row>
    <row r="3" spans="1:2" x14ac:dyDescent="0.45">
      <c r="A3" s="2" t="s">
        <v>1</v>
      </c>
      <c r="B3" s="2" t="s">
        <v>14</v>
      </c>
    </row>
    <row r="4" spans="1:2" x14ac:dyDescent="0.45">
      <c r="A4" s="2" t="s">
        <v>2</v>
      </c>
      <c r="B4" s="2" t="s">
        <v>15</v>
      </c>
    </row>
    <row r="5" spans="1:2" x14ac:dyDescent="0.45">
      <c r="A5" s="2" t="s">
        <v>3</v>
      </c>
      <c r="B5" s="2" t="s">
        <v>16</v>
      </c>
    </row>
    <row r="6" spans="1:2" x14ac:dyDescent="0.45">
      <c r="A6" s="2" t="s">
        <v>4</v>
      </c>
      <c r="B6" s="2" t="s">
        <v>17</v>
      </c>
    </row>
    <row r="7" spans="1:2" x14ac:dyDescent="0.45">
      <c r="A7" s="2" t="s">
        <v>5</v>
      </c>
      <c r="B7" s="2" t="s">
        <v>18</v>
      </c>
    </row>
    <row r="8" spans="1:2" x14ac:dyDescent="0.45">
      <c r="A8" s="2" t="s">
        <v>6</v>
      </c>
      <c r="B8" s="2" t="s">
        <v>19</v>
      </c>
    </row>
    <row r="9" spans="1:2" x14ac:dyDescent="0.45">
      <c r="A9" s="2" t="s">
        <v>7</v>
      </c>
      <c r="B9" s="2" t="s">
        <v>20</v>
      </c>
    </row>
    <row r="10" spans="1:2" x14ac:dyDescent="0.45">
      <c r="A10" s="2" t="s">
        <v>8</v>
      </c>
      <c r="B10" s="2" t="s">
        <v>21</v>
      </c>
    </row>
    <row r="11" spans="1:2" x14ac:dyDescent="0.45">
      <c r="A11" s="2" t="s">
        <v>9</v>
      </c>
      <c r="B11" s="2" t="s">
        <v>22</v>
      </c>
    </row>
    <row r="12" spans="1:2" x14ac:dyDescent="0.45">
      <c r="A12" s="2" t="s">
        <v>10</v>
      </c>
      <c r="B12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F99F-E177-43FE-B028-4944F3EA7EBF}">
  <dimension ref="A1:B10"/>
  <sheetViews>
    <sheetView workbookViewId="0"/>
  </sheetViews>
  <sheetFormatPr defaultRowHeight="14.25" x14ac:dyDescent="0.45"/>
  <cols>
    <col min="1" max="1" width="10" customWidth="1"/>
    <col min="2" max="2" width="10.59765625" customWidth="1"/>
  </cols>
  <sheetData>
    <row r="1" spans="1:2" x14ac:dyDescent="0.45">
      <c r="A1" s="23" t="s">
        <v>36</v>
      </c>
      <c r="B1" s="23" t="s">
        <v>62</v>
      </c>
    </row>
    <row r="2" spans="1:2" x14ac:dyDescent="0.45">
      <c r="A2" s="24" t="s">
        <v>38</v>
      </c>
      <c r="B2" s="25">
        <v>3.1</v>
      </c>
    </row>
    <row r="3" spans="1:2" x14ac:dyDescent="0.45">
      <c r="A3" s="24" t="s">
        <v>63</v>
      </c>
      <c r="B3" s="25">
        <v>1</v>
      </c>
    </row>
    <row r="4" spans="1:2" x14ac:dyDescent="0.45">
      <c r="A4" s="24" t="s">
        <v>64</v>
      </c>
      <c r="B4" s="25">
        <v>4.87</v>
      </c>
    </row>
    <row r="5" spans="1:2" x14ac:dyDescent="0.45">
      <c r="A5" s="24" t="s">
        <v>65</v>
      </c>
      <c r="B5" s="25">
        <v>3.45</v>
      </c>
    </row>
    <row r="6" spans="1:2" x14ac:dyDescent="0.45">
      <c r="A6" s="24" t="s">
        <v>66</v>
      </c>
      <c r="B6" s="25">
        <v>8.1199999999999992</v>
      </c>
    </row>
    <row r="7" spans="1:2" x14ac:dyDescent="0.45">
      <c r="A7" s="24" t="s">
        <v>40</v>
      </c>
      <c r="B7" s="25">
        <v>0.91</v>
      </c>
    </row>
    <row r="8" spans="1:2" x14ac:dyDescent="0.45">
      <c r="A8" t="s">
        <v>42</v>
      </c>
      <c r="B8" s="26">
        <v>1.1499999999999999</v>
      </c>
    </row>
    <row r="9" spans="1:2" x14ac:dyDescent="0.45">
      <c r="A9" t="s">
        <v>67</v>
      </c>
      <c r="B9" s="26">
        <v>6.52</v>
      </c>
    </row>
    <row r="10" spans="1:2" x14ac:dyDescent="0.45">
      <c r="A10" t="s">
        <v>68</v>
      </c>
      <c r="B10" s="26">
        <v>1.75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HeadingPairs>
  <TitlesOfParts>
    <vt:vector size="31" baseType="lpstr">
      <vt:lpstr>VLOOKUP and SUM - examples</vt:lpstr>
      <vt:lpstr>Sum Vlookup</vt:lpstr>
      <vt:lpstr>VLOOKUP calculations</vt:lpstr>
      <vt:lpstr>Lookup and sum</vt:lpstr>
      <vt:lpstr>Vlookup and Sumif</vt:lpstr>
      <vt:lpstr>Monthly sales</vt:lpstr>
      <vt:lpstr>Lookup table</vt:lpstr>
      <vt:lpstr>Lookup table2</vt:lpstr>
      <vt:lpstr>Apples</vt:lpstr>
      <vt:lpstr>Apr</vt:lpstr>
      <vt:lpstr>Aug</vt:lpstr>
      <vt:lpstr>Dec</vt:lpstr>
      <vt:lpstr>Feb</vt:lpstr>
      <vt:lpstr>Grapefruit</vt:lpstr>
      <vt:lpstr>Jan</vt:lpstr>
      <vt:lpstr>Jul</vt:lpstr>
      <vt:lpstr>Jun</vt:lpstr>
      <vt:lpstr>Lemons</vt:lpstr>
      <vt:lpstr>Lime</vt:lpstr>
      <vt:lpstr>Mar</vt:lpstr>
      <vt:lpstr>May</vt:lpstr>
      <vt:lpstr>Nov</vt:lpstr>
      <vt:lpstr>Oct</vt:lpstr>
      <vt:lpstr>Oranges</vt:lpstr>
      <vt:lpstr>Peaches</vt:lpstr>
      <vt:lpstr>Pears</vt:lpstr>
      <vt:lpstr>Pineapples</vt:lpstr>
      <vt:lpstr>'Lookup table2'!price_fruits</vt:lpstr>
      <vt:lpstr>Prices</vt:lpstr>
      <vt:lpstr>Product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</cp:lastModifiedBy>
  <dcterms:created xsi:type="dcterms:W3CDTF">2014-07-24T14:22:34Z</dcterms:created>
  <dcterms:modified xsi:type="dcterms:W3CDTF">2020-11-20T14:10:21Z</dcterms:modified>
</cp:coreProperties>
</file>