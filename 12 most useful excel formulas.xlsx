
<file path=[Content_Types].xml><?xml version="1.0" encoding="utf-8"?>
<Types xmlns="http://schemas.openxmlformats.org/package/2006/content-types"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"/>
    </mc:Choice>
  </mc:AlternateContent>
  <bookViews>
    <workbookView xWindow="0" yWindow="0" windowWidth="20490" windowHeight="7620" tabRatio="870" activeTab="3"/>
  </bookViews>
  <sheets>
    <sheet name="Vlookup" sheetId="1" r:id="rId1"/>
    <sheet name="Hlookup" sheetId="3" r:id="rId2"/>
    <sheet name="Xlookup" sheetId="2" r:id="rId3"/>
    <sheet name="Picture Lookup" sheetId="4" r:id="rId4"/>
    <sheet name="Filter" sheetId="6" r:id="rId5"/>
    <sheet name="iferror" sheetId="5" r:id="rId6"/>
    <sheet name="&amp; Formula" sheetId="7" r:id="rId7"/>
    <sheet name="Textjoin" sheetId="8" r:id="rId8"/>
    <sheet name="Sumif" sheetId="9" r:id="rId9"/>
    <sheet name="Sumifs" sheetId="10" r:id="rId10"/>
    <sheet name="Countif" sheetId="11" r:id="rId11"/>
    <sheet name="Countifs" sheetId="12" r:id="rId12"/>
  </sheets>
  <definedNames>
    <definedName name="_xlnm._FilterDatabase" localSheetId="6" hidden="1">'&amp; Formula'!$B$2:$D$10</definedName>
    <definedName name="abc">_xlfn.XLOOKUP('Picture Lookup'!$F$4,'Picture Lookup'!$B$4:$B$7,'Picture Lookup'!$D$4:$D$7)</definedName>
    <definedName name="xyz">_xlfn.XLOOKUP('Picture Lookup'!$F$4,'Picture Lookup'!$B$4:$B$7,'Picture Lookup'!$D$4:$D$7)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3" l="1"/>
  <c r="I3" i="3"/>
  <c r="I9" i="1"/>
  <c r="I6" i="1"/>
  <c r="I3" i="12" l="1"/>
  <c r="I3" i="11"/>
  <c r="I3" i="10"/>
  <c r="H24" i="9"/>
  <c r="H6" i="9"/>
  <c r="H3" i="9"/>
  <c r="E14" i="9"/>
  <c r="E4" i="8"/>
  <c r="E5" i="8"/>
  <c r="E6" i="8"/>
  <c r="E7" i="8"/>
  <c r="E8" i="8"/>
  <c r="E9" i="8"/>
  <c r="E10" i="8"/>
  <c r="E3" i="8"/>
  <c r="E10" i="7"/>
  <c r="E8" i="7"/>
  <c r="E7" i="7"/>
  <c r="E9" i="7"/>
  <c r="E6" i="7"/>
  <c r="E5" i="7"/>
  <c r="E4" i="7"/>
  <c r="E3" i="7"/>
  <c r="H6" i="6" a="1"/>
  <c r="H6" i="6" s="1"/>
  <c r="G4" i="4"/>
  <c r="J29" i="2"/>
  <c r="J30" i="2"/>
  <c r="J31" i="2"/>
  <c r="J32" i="2"/>
  <c r="J28" i="2"/>
  <c r="J24" i="2"/>
  <c r="I3" i="2"/>
  <c r="J9" i="2"/>
  <c r="K9" i="2"/>
  <c r="L9" i="2"/>
  <c r="I9" i="2"/>
  <c r="I6" i="2"/>
  <c r="L4" i="3"/>
  <c r="L5" i="3"/>
  <c r="L6" i="3"/>
  <c r="L7" i="3"/>
  <c r="J9" i="1"/>
  <c r="K9" i="1"/>
  <c r="L9" i="1"/>
  <c r="I3" i="1"/>
  <c r="F27" i="6"/>
  <c r="E27" i="6"/>
  <c r="D27" i="6"/>
  <c r="C27" i="6"/>
  <c r="F28" i="2"/>
  <c r="E28" i="2"/>
  <c r="D28" i="2"/>
  <c r="C28" i="2"/>
  <c r="D7" i="3"/>
  <c r="E7" i="3"/>
  <c r="F7" i="3"/>
  <c r="C7" i="3"/>
  <c r="L6" i="6"/>
  <c r="K6" i="6"/>
  <c r="J6" i="6"/>
  <c r="I6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<sst xmlns="http://schemas.openxmlformats.org/spreadsheetml/2006/main" count="436" uniqueCount="91">
  <si>
    <t>Product ID</t>
  </si>
  <si>
    <t>Product Name</t>
  </si>
  <si>
    <t>HSN Code</t>
  </si>
  <si>
    <t>Seller Name</t>
  </si>
  <si>
    <t>Qty Sold</t>
  </si>
  <si>
    <t>HardDisk</t>
  </si>
  <si>
    <t>AP0101</t>
  </si>
  <si>
    <t>Ram Traders</t>
  </si>
  <si>
    <t>Microphone</t>
  </si>
  <si>
    <t>AP0102</t>
  </si>
  <si>
    <t xml:space="preserve">Rajesh </t>
  </si>
  <si>
    <t>Mobile Stand</t>
  </si>
  <si>
    <t>AP0103</t>
  </si>
  <si>
    <t>Shivam</t>
  </si>
  <si>
    <t>Laptop Stand</t>
  </si>
  <si>
    <t>AP0104</t>
  </si>
  <si>
    <t>Sethi</t>
  </si>
  <si>
    <t>Mic Holder</t>
  </si>
  <si>
    <t>AP0105</t>
  </si>
  <si>
    <t>Rahul</t>
  </si>
  <si>
    <t>Printer</t>
  </si>
  <si>
    <t>AP0106</t>
  </si>
  <si>
    <t>Aman</t>
  </si>
  <si>
    <t>Scanner</t>
  </si>
  <si>
    <t>Sohan</t>
  </si>
  <si>
    <t>Monitor</t>
  </si>
  <si>
    <t>AP0108</t>
  </si>
  <si>
    <t>Chandu</t>
  </si>
  <si>
    <t>Mouse</t>
  </si>
  <si>
    <t>AP0109</t>
  </si>
  <si>
    <t>Rohan</t>
  </si>
  <si>
    <t>Keyboard</t>
  </si>
  <si>
    <t>AP0110</t>
  </si>
  <si>
    <t>Sonu</t>
  </si>
  <si>
    <t>AP0107</t>
  </si>
  <si>
    <t>Region</t>
  </si>
  <si>
    <t>East</t>
  </si>
  <si>
    <t>West</t>
  </si>
  <si>
    <t>North</t>
  </si>
  <si>
    <t>South</t>
  </si>
  <si>
    <t>Q1 Sales</t>
  </si>
  <si>
    <t>Q2 Sales</t>
  </si>
  <si>
    <t>Q3 Sales</t>
  </si>
  <si>
    <t>Q4 Sales</t>
  </si>
  <si>
    <t>Total</t>
  </si>
  <si>
    <t>north</t>
  </si>
  <si>
    <t>Image</t>
  </si>
  <si>
    <t>ID</t>
  </si>
  <si>
    <t>NAME</t>
  </si>
  <si>
    <t>Name 1</t>
  </si>
  <si>
    <t>Name 2</t>
  </si>
  <si>
    <t>Name 3</t>
  </si>
  <si>
    <t>Name 4</t>
  </si>
  <si>
    <t>east</t>
  </si>
  <si>
    <t>First Name</t>
  </si>
  <si>
    <t>Middle name</t>
  </si>
  <si>
    <t>Last Name</t>
  </si>
  <si>
    <t>Raj</t>
  </si>
  <si>
    <t>Kumar</t>
  </si>
  <si>
    <t>Singh</t>
  </si>
  <si>
    <t>Rohit</t>
  </si>
  <si>
    <t>Sharma</t>
  </si>
  <si>
    <t>Suresh</t>
  </si>
  <si>
    <t>Anil</t>
  </si>
  <si>
    <t>Reena</t>
  </si>
  <si>
    <t>Kumari</t>
  </si>
  <si>
    <t>Anjali</t>
  </si>
  <si>
    <t>Rajpoot</t>
  </si>
  <si>
    <t>Deepak</t>
  </si>
  <si>
    <t>Nehra</t>
  </si>
  <si>
    <t>Neha</t>
  </si>
  <si>
    <t>Rathor</t>
  </si>
  <si>
    <t>Ram</t>
  </si>
  <si>
    <t>Tewatia</t>
  </si>
  <si>
    <t>Total Qty Sold</t>
  </si>
  <si>
    <t>Printer HP</t>
  </si>
  <si>
    <t>HP Scanner</t>
  </si>
  <si>
    <t>HCL Monitor</t>
  </si>
  <si>
    <t>Mouse HP</t>
  </si>
  <si>
    <t>HCL Printer</t>
  </si>
  <si>
    <t>Monitor 32" HCL</t>
  </si>
  <si>
    <t>Mouse HP PS2</t>
  </si>
  <si>
    <t>ABC Ltd</t>
  </si>
  <si>
    <t>Total Records</t>
  </si>
  <si>
    <t>Gender</t>
  </si>
  <si>
    <t>Male</t>
  </si>
  <si>
    <t>Female</t>
  </si>
  <si>
    <t>west</t>
  </si>
  <si>
    <t>mouse</t>
  </si>
  <si>
    <t>scanner</t>
  </si>
  <si>
    <t>*mouse*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</si>
</sst>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emf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jpeg"/><Relationship Id="rId4" Type="http://schemas.microsoft.com/office/2007/relationships/hdphoto" Target="../media/hdphoto2.wdp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26330</xdr:colOff>
      <xdr:row>3</xdr:row>
      <xdr:rowOff>123137</xdr:rowOff>
    </xdr:from>
    <xdr:to>
      <xdr:col>3</xdr:col>
      <xdr:colOff>767697</xdr:colOff>
      <xdr:row>3</xdr:row>
      <xdr:rowOff>948411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339B05-3773-D6C0-ED99-F0439EDE8C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9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289" t="1" r="21267" b="39394"/>
        <a:stretch/>
      </xdr:blipFill>
      <xdr:spPr>
        <a:xfrm>
          <a:off x="2858982" y="835441"/>
          <a:ext cx="741367" cy="825274"/>
        </a:xfrm>
        <a:prstGeom prst="rect">
          <a:avLst/>
        </a:prstGeom>
      </xdr:spPr>
    </xdr:pic>
    <xdr:clientData/>
  </xdr:twoCellAnchor>
  <xdr:twoCellAnchor editAs="oneCell">
    <xdr:from>
      <xdr:col>3</xdr:col>
      <xdr:colOff>1380</xdr:colOff>
      <xdr:row>4</xdr:row>
      <xdr:rowOff>5521</xdr:rowOff>
    </xdr:from>
    <xdr:to>
      <xdr:col>3</xdr:col>
      <xdr:colOff>765279</xdr:colOff>
      <xdr:row>4</xdr:row>
      <xdr:rowOff>810271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101746-3ABF-5FDC-63A5-249FB600A1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1543" t="18256" r="22092" b="43071"/>
        <a:stretch/>
      </xdr:blipFill>
      <xdr:spPr>
        <a:xfrm>
          <a:off x="2834032" y="1557130"/>
          <a:ext cx="763899" cy="804750"/>
        </a:xfrm>
        <a:prstGeom prst="rect">
          <a:avLst/>
        </a:prstGeom>
      </xdr:spPr>
    </xdr:pic>
    <xdr:clientData/>
  </xdr:twoCellAnchor>
  <xdr:twoCellAnchor editAs="oneCell">
    <xdr:from>
      <xdr:col>3</xdr:col>
      <xdr:colOff>16911</xdr:colOff>
      <xdr:row>5</xdr:row>
      <xdr:rowOff>43657</xdr:rowOff>
    </xdr:from>
    <xdr:to>
      <xdr:col>3</xdr:col>
      <xdr:colOff>723348</xdr:colOff>
      <xdr:row>5</xdr:row>
      <xdr:rowOff>812243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87C7013-835B-9C0D-82D8-5B9A18840C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28" t="1" r="26398" b="39318"/>
        <a:stretch/>
      </xdr:blipFill>
      <xdr:spPr>
        <a:xfrm>
          <a:off x="2849563" y="2434570"/>
          <a:ext cx="706437" cy="768586"/>
        </a:xfrm>
        <a:prstGeom prst="rect">
          <a:avLst/>
        </a:prstGeom>
      </xdr:spPr>
    </xdr:pic>
    <xdr:clientData/>
  </xdr:twoCellAnchor>
  <xdr:twoCellAnchor editAs="oneCell">
    <xdr:from>
      <xdr:col>3</xdr:col>
      <xdr:colOff>15736</xdr:colOff>
      <xdr:row>6</xdr:row>
      <xdr:rowOff>8835</xdr:rowOff>
    </xdr:from>
    <xdr:to>
      <xdr:col>4</xdr:col>
      <xdr:colOff>6591</xdr:colOff>
      <xdr:row>6</xdr:row>
      <xdr:rowOff>813585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542F8EA-5B26-41C4-AB0C-2C085C38D4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1543" t="18256" r="22092" b="43071"/>
        <a:stretch/>
      </xdr:blipFill>
      <xdr:spPr>
        <a:xfrm>
          <a:off x="2848388" y="3239052"/>
          <a:ext cx="763899" cy="8047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463827</xdr:colOff>
          <xdr:row>3</xdr:row>
          <xdr:rowOff>303696</xdr:rowOff>
        </xdr:from>
        <xdr:to>
          <xdr:col>7</xdr:col>
          <xdr:colOff>204305</xdr:colOff>
          <xdr:row>4</xdr:row>
          <xdr:rowOff>618434</xdr:rowOff>
        </xdr:to>
        <xdr:pic>
          <xdr:nvPicPr>
            <xdr:cNvPr id="28" name="Picture 27">
              <a:extLst>
                <a:ext uri="{FF2B5EF4-FFF2-40B4-BE49-F238E27FC236}">
                  <a16:creationId xmlns:a16="http://schemas.microsoft.com/office/drawing/2014/main" id="{CCEBF78D-48FC-4BBA-B7F7-04D2C82FF868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c" spid="_x0000_s4100"/>
                </a:ext>
              </a:extLst>
            </xdr:cNvPicPr>
          </xdr:nvPicPr>
          <xdr:blipFill rotWithShape="1">
            <a:blip xmlns:r="http://schemas.openxmlformats.org/officeDocument/2006/relationships" r:embed="rId7"/>
            <a:srcRect l="8260" t="4786" r="6102" b="3111"/>
            <a:stretch>
              <a:fillRect/>
            </a:stretch>
          </xdr:blipFill>
          <xdr:spPr>
            <a:xfrm>
              <a:off x="5692914" y="1016000"/>
              <a:ext cx="1060174" cy="1275521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2"/>
  <sheetViews>
    <sheetView zoomScaleNormal="100" workbookViewId="0">
      <selection activeCell="H13" sqref="H13"/>
    </sheetView>
  </sheetViews>
  <sheetFormatPr defaultRowHeight="18.75" x14ac:dyDescent="0.3"/>
  <cols>
    <col min="1" max="1" width="2.5" customWidth="1"/>
    <col min="2" max="2" width="10.8984375" customWidth="1"/>
    <col min="3" max="3" width="13.8984375" customWidth="1"/>
    <col min="4" max="4" width="10" customWidth="1"/>
    <col min="5" max="5" width="12.3984375" customWidth="1"/>
    <col min="6" max="6" width="8" customWidth="1"/>
    <col min="7" max="7" width="3.3984375" customWidth="1"/>
    <col min="8" max="8" width="10.09765625" customWidth="1"/>
    <col min="9" max="9" width="16.3984375" customWidth="1"/>
    <col min="10" max="10" width="9.59765625" customWidth="1"/>
    <col min="11" max="11" width="13.59765625" customWidth="1"/>
  </cols>
  <sheetData>
    <row r="2" spans="2:12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H2" s="1" t="s">
        <v>0</v>
      </c>
      <c r="I2" s="2" t="s">
        <v>4</v>
      </c>
    </row>
    <row r="3" spans="2:12" x14ac:dyDescent="0.3">
      <c r="B3" s="3">
        <v>101</v>
      </c>
      <c r="C3" s="4" t="s">
        <v>5</v>
      </c>
      <c r="D3" s="4" t="s">
        <v>6</v>
      </c>
      <c r="E3" s="4" t="s">
        <v>7</v>
      </c>
      <c r="F3" s="4">
        <v>23</v>
      </c>
      <c r="H3" s="4">
        <v>102</v>
      </c>
      <c r="I3" s="4">
        <f>VLOOKUP(H3,B2:F12,5,0)</f>
        <v>20</v>
      </c>
    </row>
    <row r="4" spans="2:12" x14ac:dyDescent="0.3">
      <c r="B4" s="3">
        <v>102</v>
      </c>
      <c r="C4" s="4" t="s">
        <v>8</v>
      </c>
      <c r="D4" s="4" t="s">
        <v>9</v>
      </c>
      <c r="E4" s="4" t="s">
        <v>10</v>
      </c>
      <c r="F4" s="4">
        <v>20</v>
      </c>
    </row>
    <row r="5" spans="2:12" x14ac:dyDescent="0.3">
      <c r="B5" s="3">
        <v>103</v>
      </c>
      <c r="C5" s="4" t="s">
        <v>11</v>
      </c>
      <c r="D5" s="4" t="s">
        <v>12</v>
      </c>
      <c r="E5" s="4" t="s">
        <v>13</v>
      </c>
      <c r="F5" s="4">
        <v>30</v>
      </c>
      <c r="H5" s="2" t="s">
        <v>2</v>
      </c>
      <c r="I5" s="2" t="s">
        <v>4</v>
      </c>
    </row>
    <row r="6" spans="2:12" x14ac:dyDescent="0.3">
      <c r="B6" s="3">
        <v>104</v>
      </c>
      <c r="C6" s="4" t="s">
        <v>14</v>
      </c>
      <c r="D6" s="4" t="s">
        <v>15</v>
      </c>
      <c r="E6" s="4" t="s">
        <v>16</v>
      </c>
      <c r="F6" s="4">
        <v>40</v>
      </c>
      <c r="H6" s="4" t="s">
        <v>18</v>
      </c>
      <c r="I6" s="4">
        <f>VLOOKUP(H6,D2:F12,3,0)</f>
        <v>34</v>
      </c>
    </row>
    <row r="7" spans="2:12" x14ac:dyDescent="0.3">
      <c r="B7" s="3">
        <v>105</v>
      </c>
      <c r="C7" s="4" t="s">
        <v>17</v>
      </c>
      <c r="D7" s="4" t="s">
        <v>18</v>
      </c>
      <c r="E7" s="4" t="s">
        <v>19</v>
      </c>
      <c r="F7" s="4">
        <v>34</v>
      </c>
    </row>
    <row r="8" spans="2:12" x14ac:dyDescent="0.3">
      <c r="B8" s="3">
        <v>106</v>
      </c>
      <c r="C8" s="4" t="s">
        <v>20</v>
      </c>
      <c r="D8" s="4" t="s">
        <v>21</v>
      </c>
      <c r="E8" s="4" t="s">
        <v>22</v>
      </c>
      <c r="F8" s="4">
        <v>54</v>
      </c>
      <c r="H8" s="1" t="s">
        <v>0</v>
      </c>
      <c r="I8" s="2" t="s">
        <v>1</v>
      </c>
      <c r="J8" s="2" t="s">
        <v>2</v>
      </c>
      <c r="K8" s="2" t="s">
        <v>3</v>
      </c>
      <c r="L8" s="2" t="s">
        <v>4</v>
      </c>
    </row>
    <row r="9" spans="2:12" x14ac:dyDescent="0.3">
      <c r="B9" s="3">
        <v>107</v>
      </c>
      <c r="C9" s="4" t="s">
        <v>23</v>
      </c>
      <c r="D9" s="4" t="s">
        <v>34</v>
      </c>
      <c r="E9" s="4" t="s">
        <v>24</v>
      </c>
      <c r="F9" s="4">
        <v>30</v>
      </c>
      <c r="H9" s="4">
        <v>105</v>
      </c>
      <c r="I9" s="4" t="str">
        <f>VLOOKUP($H$9,$B$2:$F$12,COLUMNS($H$8:I8),0)</f>
        <v>Mic Holder</v>
      </c>
      <c r="J9" s="4" t="str">
        <f>VLOOKUP($H$9,$B$2:$F$12,COLUMNS($H$8:J8),0)</f>
        <v>AP0105</v>
      </c>
      <c r="K9" s="4" t="str">
        <f>VLOOKUP($H$9,$B$2:$F$12,COLUMNS($H$8:K8),0)</f>
        <v>Rahul</v>
      </c>
      <c r="L9" s="4">
        <f>VLOOKUP($H$9,$B$2:$F$12,COLUMNS($H$8:L8),0)</f>
        <v>34</v>
      </c>
    </row>
    <row r="10" spans="2:12" x14ac:dyDescent="0.3">
      <c r="B10" s="3">
        <v>108</v>
      </c>
      <c r="C10" s="4" t="s">
        <v>25</v>
      </c>
      <c r="D10" s="4" t="s">
        <v>26</v>
      </c>
      <c r="E10" s="4" t="s">
        <v>27</v>
      </c>
      <c r="F10" s="4">
        <v>10</v>
      </c>
    </row>
    <row r="11" spans="2:12" x14ac:dyDescent="0.3">
      <c r="B11" s="3">
        <v>109</v>
      </c>
      <c r="C11" s="4" t="s">
        <v>28</v>
      </c>
      <c r="D11" s="4" t="s">
        <v>29</v>
      </c>
      <c r="E11" s="4" t="s">
        <v>30</v>
      </c>
      <c r="F11" s="4">
        <v>20</v>
      </c>
    </row>
    <row r="12" spans="2:12" x14ac:dyDescent="0.3">
      <c r="B12" s="3">
        <v>110</v>
      </c>
      <c r="C12" s="4" t="s">
        <v>31</v>
      </c>
      <c r="D12" s="4" t="s">
        <v>32</v>
      </c>
      <c r="E12" s="4" t="s">
        <v>33</v>
      </c>
      <c r="F12" s="4">
        <v>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"/>
  <sheetViews>
    <sheetView zoomScale="115" zoomScaleNormal="115" workbookViewId="0">
      <selection activeCell="J12" sqref="J12"/>
    </sheetView>
  </sheetViews>
  <sheetFormatPr defaultRowHeight="18.75" x14ac:dyDescent="0.3"/>
  <cols>
    <col min="1" max="1" width="5.59765625" customWidth="1"/>
    <col min="7" max="7" width="4.19921875" customWidth="1"/>
    <col min="9" max="9" width="11.09765625" customWidth="1"/>
    <col min="10" max="10" width="3.09765625" customWidth="1"/>
    <col min="11" max="11" width="10.5" customWidth="1"/>
  </cols>
  <sheetData>
    <row r="2" spans="2:12" x14ac:dyDescent="0.3">
      <c r="B2" s="2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H2" s="2" t="s">
        <v>35</v>
      </c>
      <c r="I2" s="4" t="s">
        <v>36</v>
      </c>
      <c r="K2" s="2" t="s">
        <v>35</v>
      </c>
      <c r="L2" s="8" t="s">
        <v>53</v>
      </c>
    </row>
    <row r="3" spans="2:12" x14ac:dyDescent="0.3">
      <c r="B3" s="7" t="s">
        <v>40</v>
      </c>
      <c r="C3" s="5">
        <v>500</v>
      </c>
      <c r="D3" s="5">
        <v>350</v>
      </c>
      <c r="E3" s="5">
        <v>860</v>
      </c>
      <c r="F3" s="5">
        <v>350</v>
      </c>
      <c r="H3" s="7" t="s">
        <v>44</v>
      </c>
      <c r="I3" s="4">
        <f>IFERROR(HLOOKUP(I2,B2:F7,6,0),"Not Found")</f>
        <v>2800</v>
      </c>
      <c r="K3" s="7" t="s">
        <v>40</v>
      </c>
      <c r="L3" s="4">
        <f>HLOOKUP($L$2,$B$2:$F$7,ROWS($K$2:K3),0)</f>
        <v>500</v>
      </c>
    </row>
    <row r="4" spans="2:12" x14ac:dyDescent="0.3">
      <c r="B4" s="7" t="s">
        <v>41</v>
      </c>
      <c r="C4" s="5">
        <v>700</v>
      </c>
      <c r="D4" s="5">
        <v>400</v>
      </c>
      <c r="E4" s="5">
        <v>550</v>
      </c>
      <c r="F4" s="5">
        <v>990</v>
      </c>
      <c r="K4" s="7" t="s">
        <v>41</v>
      </c>
      <c r="L4" s="4">
        <f>HLOOKUP($L$2,$B$2:$F$7,ROWS($K$2:K4),0)</f>
        <v>700</v>
      </c>
    </row>
    <row r="5" spans="2:12" x14ac:dyDescent="0.3">
      <c r="B5" s="7" t="s">
        <v>42</v>
      </c>
      <c r="C5" s="5">
        <v>1100</v>
      </c>
      <c r="D5" s="5">
        <v>650</v>
      </c>
      <c r="E5" s="5">
        <v>770</v>
      </c>
      <c r="F5" s="5">
        <v>950</v>
      </c>
      <c r="K5" s="7" t="s">
        <v>42</v>
      </c>
      <c r="L5" s="4">
        <f>HLOOKUP($L$2,$B$2:$F$7,ROWS($K$2:K5),0)</f>
        <v>1100</v>
      </c>
    </row>
    <row r="6" spans="2:12" x14ac:dyDescent="0.3">
      <c r="B6" s="7" t="s">
        <v>43</v>
      </c>
      <c r="C6" s="5">
        <v>500</v>
      </c>
      <c r="D6" s="5">
        <v>400</v>
      </c>
      <c r="E6" s="5">
        <v>200</v>
      </c>
      <c r="F6" s="5">
        <v>600</v>
      </c>
      <c r="K6" s="7" t="s">
        <v>43</v>
      </c>
      <c r="L6" s="4">
        <f>HLOOKUP($L$2,$B$2:$F$7,ROWS($K$2:K6),0)</f>
        <v>500</v>
      </c>
    </row>
    <row r="7" spans="2:12" x14ac:dyDescent="0.3">
      <c r="B7" s="7" t="s">
        <v>44</v>
      </c>
      <c r="C7" s="5">
        <f>SUM(C3:C6)</f>
        <v>2800</v>
      </c>
      <c r="D7" s="5">
        <f t="shared" ref="D7:F7" si="0">SUM(D3:D6)</f>
        <v>1800</v>
      </c>
      <c r="E7" s="5">
        <f t="shared" si="0"/>
        <v>2380</v>
      </c>
      <c r="F7" s="5">
        <f t="shared" si="0"/>
        <v>2890</v>
      </c>
      <c r="K7" s="7" t="s">
        <v>44</v>
      </c>
      <c r="L7" s="4">
        <f>HLOOKUP($L$2,$B$2:$F$7,ROWS($K$2:K7),0)</f>
        <v>2800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2"/>
  <sheetViews>
    <sheetView topLeftCell="A22" zoomScaleNormal="100" workbookViewId="0">
      <selection activeCell="J24" sqref="J24"/>
    </sheetView>
  </sheetViews>
  <sheetFormatPr defaultRowHeight="18.75" x14ac:dyDescent="0.3"/>
  <cols>
    <col min="1" max="1" width="2.5" customWidth="1"/>
    <col min="2" max="2" width="10.8984375" customWidth="1"/>
    <col min="3" max="3" width="13.8984375" customWidth="1"/>
    <col min="4" max="4" width="10" customWidth="1"/>
    <col min="5" max="5" width="12.3984375" customWidth="1"/>
    <col min="6" max="6" width="8" customWidth="1"/>
    <col min="7" max="7" width="3.3984375" customWidth="1"/>
    <col min="8" max="8" width="10.09765625" customWidth="1"/>
    <col min="9" max="9" width="16.3984375" customWidth="1"/>
    <col min="10" max="10" width="9.59765625" customWidth="1"/>
    <col min="11" max="11" width="13.59765625" customWidth="1"/>
  </cols>
  <sheetData>
    <row r="2" spans="2:12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H2" s="1" t="s">
        <v>0</v>
      </c>
      <c r="I2" s="2" t="s">
        <v>3</v>
      </c>
    </row>
    <row r="3" spans="2:12" x14ac:dyDescent="0.3">
      <c r="B3" s="3">
        <v>101</v>
      </c>
      <c r="C3" s="4" t="s">
        <v>5</v>
      </c>
      <c r="D3" s="4" t="s">
        <v>6</v>
      </c>
      <c r="E3" s="4" t="s">
        <v>7</v>
      </c>
      <c r="F3" s="4">
        <v>23</v>
      </c>
      <c r="H3" s="3">
        <v>102</v>
      </c>
      <c r="I3" s="4" t="str">
        <f>_xlfn.XLOOKUP(H3,B3:B12,E3:E12,"not found",,)</f>
        <v xml:space="preserve">Rajesh </v>
      </c>
    </row>
    <row r="4" spans="2:12" x14ac:dyDescent="0.3">
      <c r="B4" s="3">
        <v>102</v>
      </c>
      <c r="C4" s="4" t="s">
        <v>8</v>
      </c>
      <c r="D4" s="4" t="s">
        <v>9</v>
      </c>
      <c r="E4" s="4" t="s">
        <v>10</v>
      </c>
      <c r="F4" s="4">
        <v>20</v>
      </c>
    </row>
    <row r="5" spans="2:12" x14ac:dyDescent="0.3">
      <c r="B5" s="3">
        <v>103</v>
      </c>
      <c r="C5" s="4" t="s">
        <v>11</v>
      </c>
      <c r="D5" s="4" t="s">
        <v>12</v>
      </c>
      <c r="E5" s="4" t="s">
        <v>13</v>
      </c>
      <c r="F5" s="4">
        <v>30</v>
      </c>
      <c r="H5" s="2" t="s">
        <v>2</v>
      </c>
      <c r="I5" s="2" t="s">
        <v>1</v>
      </c>
    </row>
    <row r="6" spans="2:12" x14ac:dyDescent="0.3">
      <c r="B6" s="3">
        <v>104</v>
      </c>
      <c r="C6" s="4" t="s">
        <v>14</v>
      </c>
      <c r="D6" s="4" t="s">
        <v>15</v>
      </c>
      <c r="E6" s="4" t="s">
        <v>16</v>
      </c>
      <c r="F6" s="4">
        <v>40</v>
      </c>
      <c r="H6" s="4" t="s">
        <v>21</v>
      </c>
      <c r="I6" s="4" t="str">
        <f>_xlfn.XLOOKUP(H6,D3:D12,C3:C12)</f>
        <v>Printer</v>
      </c>
    </row>
    <row r="7" spans="2:12" x14ac:dyDescent="0.3">
      <c r="B7" s="3">
        <v>105</v>
      </c>
      <c r="C7" s="4" t="s">
        <v>17</v>
      </c>
      <c r="D7" s="4" t="s">
        <v>18</v>
      </c>
      <c r="E7" s="4" t="s">
        <v>19</v>
      </c>
      <c r="F7" s="4">
        <v>34</v>
      </c>
    </row>
    <row r="8" spans="2:12" x14ac:dyDescent="0.3">
      <c r="B8" s="3">
        <v>106</v>
      </c>
      <c r="C8" s="4" t="s">
        <v>20</v>
      </c>
      <c r="D8" s="4" t="s">
        <v>21</v>
      </c>
      <c r="E8" s="4" t="s">
        <v>22</v>
      </c>
      <c r="F8" s="4">
        <v>54</v>
      </c>
      <c r="H8" s="1" t="s">
        <v>0</v>
      </c>
      <c r="I8" s="2" t="s">
        <v>1</v>
      </c>
      <c r="J8" s="2" t="s">
        <v>2</v>
      </c>
      <c r="K8" s="2" t="s">
        <v>3</v>
      </c>
      <c r="L8" s="2" t="s">
        <v>4</v>
      </c>
    </row>
    <row r="9" spans="2:12" x14ac:dyDescent="0.3">
      <c r="B9" s="3">
        <v>107</v>
      </c>
      <c r="C9" s="4" t="s">
        <v>23</v>
      </c>
      <c r="D9" s="4" t="s">
        <v>34</v>
      </c>
      <c r="E9" s="4" t="s">
        <v>24</v>
      </c>
      <c r="F9" s="4">
        <v>30</v>
      </c>
      <c r="H9" s="3">
        <v>105</v>
      </c>
      <c r="I9" s="4" t="str">
        <f>_xlfn.XLOOKUP($H$9,$B$3:$B$12,C3:C12)</f>
        <v>Mic Holder</v>
      </c>
      <c r="J9" s="4" t="str">
        <f t="shared" ref="J9:L9" si="0">_xlfn.XLOOKUP($H$9,$B$3:$B$12,D3:D12)</f>
        <v>AP0105</v>
      </c>
      <c r="K9" s="4" t="str">
        <f t="shared" si="0"/>
        <v>Rahul</v>
      </c>
      <c r="L9" s="4">
        <f t="shared" si="0"/>
        <v>34</v>
      </c>
    </row>
    <row r="10" spans="2:12" x14ac:dyDescent="0.3">
      <c r="B10" s="3">
        <v>108</v>
      </c>
      <c r="C10" s="4" t="s">
        <v>25</v>
      </c>
      <c r="D10" s="4" t="s">
        <v>26</v>
      </c>
      <c r="E10" s="4" t="s">
        <v>27</v>
      </c>
      <c r="F10" s="4">
        <v>10</v>
      </c>
    </row>
    <row r="11" spans="2:12" x14ac:dyDescent="0.3">
      <c r="B11" s="3">
        <v>109</v>
      </c>
      <c r="C11" s="4" t="s">
        <v>28</v>
      </c>
      <c r="D11" s="4" t="s">
        <v>29</v>
      </c>
      <c r="E11" s="4" t="s">
        <v>30</v>
      </c>
      <c r="F11" s="4">
        <v>20</v>
      </c>
    </row>
    <row r="12" spans="2:12" x14ac:dyDescent="0.3">
      <c r="B12" s="3">
        <v>110</v>
      </c>
      <c r="C12" s="4" t="s">
        <v>31</v>
      </c>
      <c r="D12" s="4" t="s">
        <v>32</v>
      </c>
      <c r="E12" s="4" t="s">
        <v>33</v>
      </c>
      <c r="F12" s="4">
        <v>25</v>
      </c>
    </row>
    <row r="23" spans="2:10" x14ac:dyDescent="0.3">
      <c r="B23" s="2" t="s">
        <v>35</v>
      </c>
      <c r="C23" s="6" t="s">
        <v>36</v>
      </c>
      <c r="D23" s="6" t="s">
        <v>37</v>
      </c>
      <c r="E23" s="6" t="s">
        <v>38</v>
      </c>
      <c r="F23" s="6" t="s">
        <v>39</v>
      </c>
      <c r="I23" s="2" t="s">
        <v>35</v>
      </c>
      <c r="J23" s="9" t="s">
        <v>87</v>
      </c>
    </row>
    <row r="24" spans="2:10" x14ac:dyDescent="0.3">
      <c r="B24" s="7" t="s">
        <v>40</v>
      </c>
      <c r="C24" s="5">
        <v>500</v>
      </c>
      <c r="D24" s="5">
        <v>350</v>
      </c>
      <c r="E24" s="5">
        <v>860</v>
      </c>
      <c r="F24" s="5">
        <v>350</v>
      </c>
      <c r="I24" s="7" t="s">
        <v>44</v>
      </c>
      <c r="J24" s="9">
        <f>_xlfn.XLOOKUP(J23,B23:F23,B28:F28)</f>
        <v>1800</v>
      </c>
    </row>
    <row r="25" spans="2:10" x14ac:dyDescent="0.3">
      <c r="B25" s="7" t="s">
        <v>41</v>
      </c>
      <c r="C25" s="5">
        <v>700</v>
      </c>
      <c r="D25" s="5">
        <v>400</v>
      </c>
      <c r="E25" s="5">
        <v>550</v>
      </c>
      <c r="F25" s="5">
        <v>990</v>
      </c>
    </row>
    <row r="26" spans="2:10" x14ac:dyDescent="0.3">
      <c r="B26" s="7" t="s">
        <v>42</v>
      </c>
      <c r="C26" s="5">
        <v>1100</v>
      </c>
      <c r="D26" s="5">
        <v>650</v>
      </c>
      <c r="E26" s="5">
        <v>770</v>
      </c>
      <c r="F26" s="5">
        <v>950</v>
      </c>
    </row>
    <row r="27" spans="2:10" x14ac:dyDescent="0.3">
      <c r="B27" s="7" t="s">
        <v>43</v>
      </c>
      <c r="C27" s="5">
        <v>500</v>
      </c>
      <c r="D27" s="5">
        <v>400</v>
      </c>
      <c r="E27" s="5">
        <v>200</v>
      </c>
      <c r="F27" s="5">
        <v>600</v>
      </c>
      <c r="I27" s="2" t="s">
        <v>35</v>
      </c>
      <c r="J27" s="8" t="s">
        <v>53</v>
      </c>
    </row>
    <row r="28" spans="2:10" x14ac:dyDescent="0.3">
      <c r="B28" s="7" t="s">
        <v>44</v>
      </c>
      <c r="C28" s="5">
        <f>SUM(C24:C27)</f>
        <v>2800</v>
      </c>
      <c r="D28" s="5">
        <f t="shared" ref="D28:F28" si="1">SUM(D24:D27)</f>
        <v>1800</v>
      </c>
      <c r="E28" s="5">
        <f t="shared" si="1"/>
        <v>2380</v>
      </c>
      <c r="F28" s="5">
        <f t="shared" si="1"/>
        <v>2890</v>
      </c>
      <c r="I28" s="7" t="s">
        <v>40</v>
      </c>
      <c r="J28" s="9">
        <f>_xlfn.XLOOKUP($J$27,$B$23:$F$23,B24:F24)</f>
        <v>500</v>
      </c>
    </row>
    <row r="29" spans="2:10" x14ac:dyDescent="0.3">
      <c r="I29" s="7" t="s">
        <v>41</v>
      </c>
      <c r="J29" s="9">
        <f t="shared" ref="J29:J32" si="2">_xlfn.XLOOKUP($J$27,$B$23:$F$23,B25:F25)</f>
        <v>700</v>
      </c>
    </row>
    <row r="30" spans="2:10" x14ac:dyDescent="0.3">
      <c r="I30" s="7" t="s">
        <v>42</v>
      </c>
      <c r="J30" s="9">
        <f t="shared" si="2"/>
        <v>1100</v>
      </c>
    </row>
    <row r="31" spans="2:10" x14ac:dyDescent="0.3">
      <c r="I31" s="7" t="s">
        <v>43</v>
      </c>
      <c r="J31" s="9">
        <f t="shared" si="2"/>
        <v>500</v>
      </c>
    </row>
    <row r="32" spans="2:10" x14ac:dyDescent="0.3">
      <c r="I32" s="7" t="s">
        <v>44</v>
      </c>
      <c r="J32" s="9">
        <f t="shared" si="2"/>
        <v>2800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G7"/>
  <sheetViews>
    <sheetView tabSelected="1" zoomScale="115" zoomScaleNormal="115" workbookViewId="0">
      <selection activeCell="I2" sqref="I2"/>
    </sheetView>
  </sheetViews>
  <sheetFormatPr defaultRowHeight="18.75" x14ac:dyDescent="0.3"/>
  <cols>
    <col min="3" max="3" width="13.59765625" customWidth="1"/>
    <col min="4" max="4" width="8.69921875" customWidth="1"/>
    <col min="7" max="7" width="14.8984375" customWidth="1"/>
  </cols>
  <sheetData>
    <row r="3" spans="2:7" x14ac:dyDescent="0.3">
      <c r="B3" s="2" t="s">
        <v>47</v>
      </c>
      <c r="C3" s="2" t="s">
        <v>48</v>
      </c>
      <c r="D3" s="2" t="s">
        <v>46</v>
      </c>
      <c r="F3" s="2" t="s">
        <v>47</v>
      </c>
      <c r="G3" s="2" t="s">
        <v>46</v>
      </c>
    </row>
    <row r="4" spans="2:7" ht="75.599999999999994" customHeight="1" x14ac:dyDescent="0.3">
      <c r="B4" s="4">
        <v>100</v>
      </c>
      <c r="C4" s="4" t="s">
        <v>49</v>
      </c>
      <c r="D4" s="4"/>
      <c r="F4" s="4">
        <v>101</v>
      </c>
      <c r="G4" s="4">
        <f>_xlfn.XLOOKUP($F$4,$B$4:$B$7,$D$4:$D$7)</f>
        <v>0</v>
      </c>
    </row>
    <row r="5" spans="2:7" ht="66" customHeight="1" x14ac:dyDescent="0.3">
      <c r="B5" s="4">
        <v>101</v>
      </c>
      <c r="C5" s="4" t="s">
        <v>50</v>
      </c>
      <c r="D5" s="4"/>
    </row>
    <row r="6" spans="2:7" ht="66" customHeight="1" x14ac:dyDescent="0.3">
      <c r="B6" s="4">
        <v>102</v>
      </c>
      <c r="C6" s="4" t="s">
        <v>51</v>
      </c>
      <c r="D6" s="4"/>
    </row>
    <row r="7" spans="2:7" ht="66" customHeight="1" x14ac:dyDescent="0.3">
      <c r="B7" s="4">
        <v>103</v>
      </c>
      <c r="C7" s="4" t="s">
        <v>52</v>
      </c>
      <c r="D7" s="4"/>
    </row>
  </sheetData>
  <phoneticPr fontId="2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7"/>
  <sheetViews>
    <sheetView zoomScaleNormal="100" workbookViewId="0">
      <selection activeCell="I3" sqref="I3"/>
    </sheetView>
  </sheetViews>
  <sheetFormatPr defaultRowHeight="18.75" x14ac:dyDescent="0.3"/>
  <cols>
    <col min="1" max="1" width="2.5" customWidth="1"/>
    <col min="2" max="2" width="10.8984375" customWidth="1"/>
    <col min="3" max="3" width="13.8984375" customWidth="1"/>
    <col min="4" max="4" width="10" customWidth="1"/>
    <col min="5" max="5" width="12.3984375" customWidth="1"/>
    <col min="6" max="6" width="8" customWidth="1"/>
    <col min="7" max="7" width="3.3984375" customWidth="1"/>
    <col min="8" max="8" width="13.8984375" customWidth="1"/>
    <col min="9" max="9" width="14" customWidth="1"/>
    <col min="10" max="10" width="10.09765625" customWidth="1"/>
    <col min="11" max="11" width="12.09765625" customWidth="1"/>
  </cols>
  <sheetData>
    <row r="2" spans="2:12" x14ac:dyDescent="0.3">
      <c r="B2" s="1" t="s">
        <v>0</v>
      </c>
      <c r="C2" s="2" t="s">
        <v>1</v>
      </c>
      <c r="D2" s="2" t="s">
        <v>35</v>
      </c>
      <c r="E2" s="2" t="s">
        <v>3</v>
      </c>
      <c r="F2" s="2" t="s">
        <v>4</v>
      </c>
      <c r="H2" s="2" t="s">
        <v>1</v>
      </c>
      <c r="I2" s="2" t="s">
        <v>35</v>
      </c>
    </row>
    <row r="3" spans="2:12" x14ac:dyDescent="0.3">
      <c r="B3" s="3">
        <v>101</v>
      </c>
      <c r="C3" s="4" t="s">
        <v>20</v>
      </c>
      <c r="D3" s="4" t="s">
        <v>36</v>
      </c>
      <c r="E3" s="4" t="s">
        <v>7</v>
      </c>
      <c r="F3" s="4">
        <v>23</v>
      </c>
      <c r="H3" s="4" t="s">
        <v>88</v>
      </c>
      <c r="I3" s="4" t="s">
        <v>87</v>
      </c>
    </row>
    <row r="4" spans="2:12" x14ac:dyDescent="0.3">
      <c r="B4" s="3">
        <v>102</v>
      </c>
      <c r="C4" s="4" t="s">
        <v>23</v>
      </c>
      <c r="D4" s="4" t="s">
        <v>37</v>
      </c>
      <c r="E4" s="4" t="s">
        <v>10</v>
      </c>
      <c r="F4" s="4">
        <v>20</v>
      </c>
    </row>
    <row r="5" spans="2:12" x14ac:dyDescent="0.3">
      <c r="B5" s="3">
        <v>103</v>
      </c>
      <c r="C5" s="4" t="s">
        <v>25</v>
      </c>
      <c r="D5" s="4" t="s">
        <v>38</v>
      </c>
      <c r="E5" s="4" t="s">
        <v>13</v>
      </c>
      <c r="F5" s="4">
        <v>30</v>
      </c>
      <c r="H5" s="1" t="s">
        <v>0</v>
      </c>
      <c r="I5" s="2" t="s">
        <v>1</v>
      </c>
      <c r="J5" s="2" t="s">
        <v>2</v>
      </c>
      <c r="K5" s="2" t="s">
        <v>3</v>
      </c>
      <c r="L5" s="2" t="s">
        <v>4</v>
      </c>
    </row>
    <row r="6" spans="2:12" x14ac:dyDescent="0.3">
      <c r="B6" s="3">
        <v>104</v>
      </c>
      <c r="C6" s="4" t="s">
        <v>25</v>
      </c>
      <c r="D6" s="4" t="s">
        <v>36</v>
      </c>
      <c r="E6" s="4" t="s">
        <v>16</v>
      </c>
      <c r="F6" s="4">
        <v>40</v>
      </c>
      <c r="H6" cm="1">
        <f t="array" ref="H6:L6">_xlfn._xlws.FILTER(B2:F12,(C2:C12=H3)*(D2:D12=I3),"not found")</f>
        <v>108</v>
      </c>
      <c r="I6" t="str">
        <v>Mouse</v>
      </c>
      <c r="J6" t="str">
        <v>West</v>
      </c>
      <c r="K6" t="str">
        <v>Chandu</v>
      </c>
      <c r="L6">
        <v>10</v>
      </c>
    </row>
    <row r="7" spans="2:12" x14ac:dyDescent="0.3">
      <c r="B7" s="3">
        <v>105</v>
      </c>
      <c r="C7" s="4" t="s">
        <v>25</v>
      </c>
      <c r="D7" s="4" t="s">
        <v>37</v>
      </c>
      <c r="E7" s="4" t="s">
        <v>19</v>
      </c>
      <c r="F7" s="4">
        <v>34</v>
      </c>
    </row>
    <row r="8" spans="2:12" x14ac:dyDescent="0.3">
      <c r="B8" s="3">
        <v>106</v>
      </c>
      <c r="C8" s="4" t="s">
        <v>23</v>
      </c>
      <c r="D8" s="4" t="s">
        <v>38</v>
      </c>
      <c r="E8" s="4" t="s">
        <v>22</v>
      </c>
      <c r="F8" s="4">
        <v>54</v>
      </c>
    </row>
    <row r="9" spans="2:12" x14ac:dyDescent="0.3">
      <c r="B9" s="3">
        <v>107</v>
      </c>
      <c r="C9" s="4" t="s">
        <v>25</v>
      </c>
      <c r="D9" s="4" t="s">
        <v>36</v>
      </c>
      <c r="E9" s="4" t="s">
        <v>24</v>
      </c>
      <c r="F9" s="4">
        <v>30</v>
      </c>
    </row>
    <row r="10" spans="2:12" x14ac:dyDescent="0.3">
      <c r="B10" s="3">
        <v>108</v>
      </c>
      <c r="C10" s="4" t="s">
        <v>28</v>
      </c>
      <c r="D10" s="4" t="s">
        <v>37</v>
      </c>
      <c r="E10" s="4" t="s">
        <v>27</v>
      </c>
      <c r="F10" s="4">
        <v>10</v>
      </c>
    </row>
    <row r="11" spans="2:12" x14ac:dyDescent="0.3">
      <c r="B11" s="3">
        <v>109</v>
      </c>
      <c r="C11" s="4" t="s">
        <v>28</v>
      </c>
      <c r="D11" s="4" t="s">
        <v>38</v>
      </c>
      <c r="E11" s="4" t="s">
        <v>30</v>
      </c>
      <c r="F11" s="4">
        <v>20</v>
      </c>
    </row>
    <row r="12" spans="2:12" x14ac:dyDescent="0.3">
      <c r="B12" s="3">
        <v>110</v>
      </c>
      <c r="C12" s="4" t="s">
        <v>23</v>
      </c>
      <c r="D12" s="4" t="s">
        <v>36</v>
      </c>
      <c r="E12" s="4" t="s">
        <v>33</v>
      </c>
      <c r="F12" s="4">
        <v>25</v>
      </c>
    </row>
    <row r="22" spans="2:6" x14ac:dyDescent="0.3">
      <c r="B22" s="2" t="s">
        <v>35</v>
      </c>
      <c r="C22" s="6" t="s">
        <v>36</v>
      </c>
      <c r="D22" s="6" t="s">
        <v>37</v>
      </c>
      <c r="E22" s="6" t="s">
        <v>38</v>
      </c>
      <c r="F22" s="6" t="s">
        <v>39</v>
      </c>
    </row>
    <row r="23" spans="2:6" x14ac:dyDescent="0.3">
      <c r="B23" s="7" t="s">
        <v>40</v>
      </c>
      <c r="C23" s="5">
        <v>500</v>
      </c>
      <c r="D23" s="5">
        <v>350</v>
      </c>
      <c r="E23" s="5">
        <v>860</v>
      </c>
      <c r="F23" s="5">
        <v>350</v>
      </c>
    </row>
    <row r="24" spans="2:6" x14ac:dyDescent="0.3">
      <c r="B24" s="7" t="s">
        <v>41</v>
      </c>
      <c r="C24" s="5">
        <v>700</v>
      </c>
      <c r="D24" s="5">
        <v>400</v>
      </c>
      <c r="E24" s="5">
        <v>550</v>
      </c>
      <c r="F24" s="5">
        <v>990</v>
      </c>
    </row>
    <row r="25" spans="2:6" x14ac:dyDescent="0.3">
      <c r="B25" s="7" t="s">
        <v>42</v>
      </c>
      <c r="C25" s="5">
        <v>1100</v>
      </c>
      <c r="D25" s="5">
        <v>650</v>
      </c>
      <c r="E25" s="5">
        <v>770</v>
      </c>
      <c r="F25" s="5">
        <v>950</v>
      </c>
    </row>
    <row r="26" spans="2:6" x14ac:dyDescent="0.3">
      <c r="B26" s="7" t="s">
        <v>43</v>
      </c>
      <c r="C26" s="5">
        <v>500</v>
      </c>
      <c r="D26" s="5">
        <v>400</v>
      </c>
      <c r="E26" s="5">
        <v>200</v>
      </c>
      <c r="F26" s="5">
        <v>600</v>
      </c>
    </row>
    <row r="27" spans="2:6" x14ac:dyDescent="0.3">
      <c r="B27" s="7" t="s">
        <v>44</v>
      </c>
      <c r="C27" s="5">
        <f>SUM(C23:C26)</f>
        <v>2800</v>
      </c>
      <c r="D27" s="5">
        <f t="shared" ref="D27:F27" si="0">SUM(D23:D26)</f>
        <v>1800</v>
      </c>
      <c r="E27" s="5">
        <f t="shared" si="0"/>
        <v>2380</v>
      </c>
      <c r="F27" s="5">
        <f t="shared" si="0"/>
        <v>2890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zoomScale="115" zoomScaleNormal="115" workbookViewId="0">
      <selection activeCell="C4" sqref="C4"/>
    </sheetView>
  </sheetViews>
  <sheetFormatPr defaultRowHeight="18.75" x14ac:dyDescent="0.3"/>
  <cols>
    <col min="2" max="3" width="12.8984375" customWidth="1"/>
    <col min="4" max="4" width="18.59765625" customWidth="1"/>
    <col min="5" max="5" width="23.8984375" customWidth="1"/>
  </cols>
  <sheetData>
    <row r="2" spans="2:5" x14ac:dyDescent="0.3">
      <c r="B2" s="2" t="s">
        <v>54</v>
      </c>
      <c r="C2" s="2" t="s">
        <v>56</v>
      </c>
      <c r="D2" s="2" t="s">
        <v>84</v>
      </c>
    </row>
    <row r="3" spans="2:5" x14ac:dyDescent="0.3">
      <c r="B3" s="4" t="s">
        <v>57</v>
      </c>
      <c r="C3" s="4" t="s">
        <v>59</v>
      </c>
      <c r="D3" s="4" t="s">
        <v>85</v>
      </c>
      <c r="E3" t="str">
        <f>"Mr. "&amp;B3&amp;" "&amp;C3</f>
        <v>Mr. Raj Singh</v>
      </c>
    </row>
    <row r="4" spans="2:5" x14ac:dyDescent="0.3">
      <c r="B4" s="4" t="s">
        <v>60</v>
      </c>
      <c r="C4" s="4" t="s">
        <v>61</v>
      </c>
      <c r="D4" s="4" t="s">
        <v>85</v>
      </c>
      <c r="E4" t="str">
        <f t="shared" ref="E4:E6" si="0">"Mr. "&amp;B4&amp;" "&amp;C4</f>
        <v>Mr. Rohit Sharma</v>
      </c>
    </row>
    <row r="5" spans="2:5" x14ac:dyDescent="0.3">
      <c r="B5" s="4" t="s">
        <v>62</v>
      </c>
      <c r="C5" s="4" t="s">
        <v>61</v>
      </c>
      <c r="D5" s="4" t="s">
        <v>85</v>
      </c>
      <c r="E5" t="str">
        <f t="shared" si="0"/>
        <v>Mr. Suresh Sharma</v>
      </c>
    </row>
    <row r="6" spans="2:5" x14ac:dyDescent="0.3">
      <c r="B6" s="4" t="s">
        <v>63</v>
      </c>
      <c r="C6" s="4" t="s">
        <v>58</v>
      </c>
      <c r="D6" s="4" t="s">
        <v>85</v>
      </c>
      <c r="E6" t="str">
        <f t="shared" si="0"/>
        <v>Mr. Anil Kumar</v>
      </c>
    </row>
    <row r="7" spans="2:5" x14ac:dyDescent="0.3">
      <c r="B7" s="4" t="s">
        <v>64</v>
      </c>
      <c r="C7" s="4" t="s">
        <v>65</v>
      </c>
      <c r="D7" s="4" t="s">
        <v>86</v>
      </c>
      <c r="E7" t="str">
        <f>"Miss "&amp;B7&amp;" "&amp;C7</f>
        <v>Miss Reena Kumari</v>
      </c>
    </row>
    <row r="8" spans="2:5" x14ac:dyDescent="0.3">
      <c r="B8" s="9" t="s">
        <v>66</v>
      </c>
      <c r="C8" s="9" t="s">
        <v>67</v>
      </c>
      <c r="D8" s="9" t="s">
        <v>86</v>
      </c>
      <c r="E8" t="str">
        <f>"Miss "&amp;B8&amp;" "&amp;C8</f>
        <v>Miss Anjali Rajpoot</v>
      </c>
    </row>
    <row r="9" spans="2:5" x14ac:dyDescent="0.3">
      <c r="B9" s="9" t="s">
        <v>68</v>
      </c>
      <c r="C9" s="9" t="s">
        <v>69</v>
      </c>
      <c r="D9" s="9" t="s">
        <v>85</v>
      </c>
      <c r="E9" t="str">
        <f>"Mr. "&amp;B9&amp;" "&amp;C9</f>
        <v>Mr. Deepak Nehra</v>
      </c>
    </row>
    <row r="10" spans="2:5" x14ac:dyDescent="0.3">
      <c r="B10" s="9" t="s">
        <v>70</v>
      </c>
      <c r="C10" s="9" t="s">
        <v>61</v>
      </c>
      <c r="D10" s="9" t="s">
        <v>86</v>
      </c>
      <c r="E10" t="str">
        <f>"Miss "&amp;B10&amp;" "&amp;C10</f>
        <v>Miss Neha Sharma</v>
      </c>
    </row>
  </sheetData>
  <autoFilter ref="B2:D1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zoomScale="130" zoomScaleNormal="130" workbookViewId="0">
      <selection activeCell="E3" sqref="E3:E10"/>
    </sheetView>
  </sheetViews>
  <sheetFormatPr defaultRowHeight="18.75" x14ac:dyDescent="0.3"/>
  <cols>
    <col min="2" max="4" width="12.69921875" customWidth="1"/>
    <col min="5" max="5" width="29.19921875" customWidth="1"/>
  </cols>
  <sheetData>
    <row r="2" spans="2:5" x14ac:dyDescent="0.3">
      <c r="B2" s="2" t="s">
        <v>54</v>
      </c>
      <c r="C2" s="2" t="s">
        <v>55</v>
      </c>
      <c r="D2" s="2" t="s">
        <v>56</v>
      </c>
    </row>
    <row r="3" spans="2:5" x14ac:dyDescent="0.3">
      <c r="B3" s="4" t="s">
        <v>57</v>
      </c>
      <c r="C3" s="4" t="s">
        <v>58</v>
      </c>
      <c r="D3" s="4" t="s">
        <v>59</v>
      </c>
      <c r="E3" t="str">
        <f>_xlfn.TEXTJOIN("_",TRUE,B3,C3,D3)</f>
        <v>Raj_Kumar_Singh</v>
      </c>
    </row>
    <row r="4" spans="2:5" x14ac:dyDescent="0.3">
      <c r="B4" s="4" t="s">
        <v>60</v>
      </c>
      <c r="C4" s="4"/>
      <c r="D4" s="4" t="s">
        <v>61</v>
      </c>
      <c r="E4" t="str">
        <f t="shared" ref="E4:E10" si="0">_xlfn.TEXTJOIN("_",TRUE,B4,C4,D4)</f>
        <v>Rohit_Sharma</v>
      </c>
    </row>
    <row r="5" spans="2:5" x14ac:dyDescent="0.3">
      <c r="B5" s="4" t="s">
        <v>62</v>
      </c>
      <c r="C5" s="4"/>
      <c r="D5" s="4" t="s">
        <v>61</v>
      </c>
      <c r="E5" t="str">
        <f t="shared" si="0"/>
        <v>Suresh_Sharma</v>
      </c>
    </row>
    <row r="6" spans="2:5" x14ac:dyDescent="0.3">
      <c r="B6" s="4" t="s">
        <v>72</v>
      </c>
      <c r="C6" s="4" t="s">
        <v>59</v>
      </c>
      <c r="D6" s="4" t="s">
        <v>73</v>
      </c>
      <c r="E6" t="str">
        <f t="shared" si="0"/>
        <v>Ram_Singh_Tewatia</v>
      </c>
    </row>
    <row r="7" spans="2:5" x14ac:dyDescent="0.3">
      <c r="B7" s="4" t="s">
        <v>64</v>
      </c>
      <c r="C7" s="4"/>
      <c r="D7" s="4" t="s">
        <v>65</v>
      </c>
      <c r="E7" t="str">
        <f t="shared" si="0"/>
        <v>Reena_Kumari</v>
      </c>
    </row>
    <row r="8" spans="2:5" x14ac:dyDescent="0.3">
      <c r="B8" s="9" t="s">
        <v>66</v>
      </c>
      <c r="C8" s="4" t="s">
        <v>65</v>
      </c>
      <c r="D8" s="9" t="s">
        <v>67</v>
      </c>
      <c r="E8" t="str">
        <f t="shared" si="0"/>
        <v>Anjali_Kumari_Rajpoot</v>
      </c>
    </row>
    <row r="9" spans="2:5" x14ac:dyDescent="0.3">
      <c r="B9" s="9" t="s">
        <v>68</v>
      </c>
      <c r="C9" s="4"/>
      <c r="D9" s="9" t="s">
        <v>69</v>
      </c>
      <c r="E9" t="str">
        <f t="shared" si="0"/>
        <v>Deepak_Nehra</v>
      </c>
    </row>
    <row r="10" spans="2:5" x14ac:dyDescent="0.3">
      <c r="B10" s="9" t="s">
        <v>70</v>
      </c>
      <c r="C10" s="4" t="s">
        <v>59</v>
      </c>
      <c r="D10" s="9" t="s">
        <v>71</v>
      </c>
      <c r="E10" t="str">
        <f t="shared" si="0"/>
        <v>Neha_Singh_Rathor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topLeftCell="A19" zoomScale="115" zoomScaleNormal="115" workbookViewId="0">
      <selection activeCell="G25" sqref="G25"/>
    </sheetView>
  </sheetViews>
  <sheetFormatPr defaultRowHeight="18.75" x14ac:dyDescent="0.3"/>
  <cols>
    <col min="2" max="2" width="14.796875" customWidth="1"/>
    <col min="3" max="3" width="10.3984375" customWidth="1"/>
    <col min="4" max="4" width="12.5" customWidth="1"/>
    <col min="7" max="7" width="15" customWidth="1"/>
    <col min="8" max="8" width="13.296875" customWidth="1"/>
  </cols>
  <sheetData>
    <row r="2" spans="2:8" x14ac:dyDescent="0.3">
      <c r="B2" s="2" t="s">
        <v>1</v>
      </c>
      <c r="C2" s="2" t="s">
        <v>35</v>
      </c>
      <c r="D2" s="2" t="s">
        <v>3</v>
      </c>
      <c r="E2" s="2" t="s">
        <v>4</v>
      </c>
      <c r="G2" s="2" t="s">
        <v>1</v>
      </c>
      <c r="H2" s="2" t="s">
        <v>74</v>
      </c>
    </row>
    <row r="3" spans="2:8" x14ac:dyDescent="0.3">
      <c r="B3" s="4" t="s">
        <v>20</v>
      </c>
      <c r="C3" s="4" t="s">
        <v>36</v>
      </c>
      <c r="D3" s="4" t="s">
        <v>7</v>
      </c>
      <c r="E3" s="4">
        <v>23</v>
      </c>
      <c r="G3" t="s">
        <v>89</v>
      </c>
      <c r="H3">
        <f>SUMIF(B2:B12,G3,E2:E12)</f>
        <v>50</v>
      </c>
    </row>
    <row r="4" spans="2:8" x14ac:dyDescent="0.3">
      <c r="B4" s="4" t="s">
        <v>23</v>
      </c>
      <c r="C4" s="4" t="s">
        <v>37</v>
      </c>
      <c r="D4" s="4" t="s">
        <v>10</v>
      </c>
      <c r="E4" s="4">
        <v>20</v>
      </c>
    </row>
    <row r="5" spans="2:8" x14ac:dyDescent="0.3">
      <c r="B5" s="4" t="s">
        <v>25</v>
      </c>
      <c r="C5" s="4" t="s">
        <v>38</v>
      </c>
      <c r="D5" s="4" t="s">
        <v>13</v>
      </c>
      <c r="E5" s="4">
        <v>30</v>
      </c>
      <c r="G5" s="2" t="s">
        <v>35</v>
      </c>
      <c r="H5" s="2" t="s">
        <v>4</v>
      </c>
    </row>
    <row r="6" spans="2:8" x14ac:dyDescent="0.3">
      <c r="B6" s="4" t="s">
        <v>28</v>
      </c>
      <c r="C6" s="4" t="s">
        <v>36</v>
      </c>
      <c r="D6" s="4" t="s">
        <v>16</v>
      </c>
      <c r="E6" s="4">
        <v>40</v>
      </c>
      <c r="G6" s="4" t="s">
        <v>87</v>
      </c>
      <c r="H6" s="4">
        <f>SUMIF(C2:C12,G6,E2:E12)</f>
        <v>64</v>
      </c>
    </row>
    <row r="7" spans="2:8" x14ac:dyDescent="0.3">
      <c r="B7" s="4" t="s">
        <v>28</v>
      </c>
      <c r="C7" s="4" t="s">
        <v>37</v>
      </c>
      <c r="D7" s="4" t="s">
        <v>19</v>
      </c>
      <c r="E7" s="4">
        <v>34</v>
      </c>
    </row>
    <row r="8" spans="2:8" x14ac:dyDescent="0.3">
      <c r="B8" s="4" t="s">
        <v>20</v>
      </c>
      <c r="C8" s="4" t="s">
        <v>38</v>
      </c>
      <c r="D8" s="4" t="s">
        <v>22</v>
      </c>
      <c r="E8" s="4">
        <v>54</v>
      </c>
    </row>
    <row r="9" spans="2:8" x14ac:dyDescent="0.3">
      <c r="B9" s="4" t="s">
        <v>23</v>
      </c>
      <c r="C9" s="4" t="s">
        <v>36</v>
      </c>
      <c r="D9" s="4" t="s">
        <v>24</v>
      </c>
      <c r="E9" s="4">
        <v>30</v>
      </c>
    </row>
    <row r="10" spans="2:8" x14ac:dyDescent="0.3">
      <c r="B10" s="4" t="s">
        <v>25</v>
      </c>
      <c r="C10" s="4" t="s">
        <v>37</v>
      </c>
      <c r="D10" s="4" t="s">
        <v>27</v>
      </c>
      <c r="E10" s="4">
        <v>10</v>
      </c>
    </row>
    <row r="11" spans="2:8" x14ac:dyDescent="0.3">
      <c r="B11" s="4" t="s">
        <v>28</v>
      </c>
      <c r="C11" s="4" t="s">
        <v>38</v>
      </c>
      <c r="D11" s="4" t="s">
        <v>30</v>
      </c>
      <c r="E11" s="4">
        <v>20</v>
      </c>
    </row>
    <row r="12" spans="2:8" x14ac:dyDescent="0.3">
      <c r="B12" s="4" t="s">
        <v>28</v>
      </c>
      <c r="C12" s="4" t="s">
        <v>36</v>
      </c>
      <c r="D12" s="4" t="s">
        <v>33</v>
      </c>
      <c r="E12" s="4">
        <v>25</v>
      </c>
    </row>
    <row r="14" spans="2:8" x14ac:dyDescent="0.3">
      <c r="E14">
        <f>SUM(E3:E12)</f>
        <v>286</v>
      </c>
    </row>
    <row r="23" spans="2:8" x14ac:dyDescent="0.3">
      <c r="B23" s="2" t="s">
        <v>1</v>
      </c>
      <c r="C23" s="2" t="s">
        <v>35</v>
      </c>
      <c r="D23" s="2" t="s">
        <v>3</v>
      </c>
      <c r="E23" s="2" t="s">
        <v>4</v>
      </c>
      <c r="G23" s="2" t="s">
        <v>1</v>
      </c>
      <c r="H23" s="2" t="s">
        <v>4</v>
      </c>
    </row>
    <row r="24" spans="2:8" x14ac:dyDescent="0.3">
      <c r="B24" s="4" t="s">
        <v>75</v>
      </c>
      <c r="C24" s="4" t="s">
        <v>36</v>
      </c>
      <c r="D24" s="4" t="s">
        <v>7</v>
      </c>
      <c r="E24" s="4">
        <v>23</v>
      </c>
      <c r="G24" s="4" t="s">
        <v>90</v>
      </c>
      <c r="H24" s="4">
        <f>SUMIF(B23:B33,G24,E23:E33)</f>
        <v>119</v>
      </c>
    </row>
    <row r="25" spans="2:8" x14ac:dyDescent="0.3">
      <c r="B25" s="4" t="s">
        <v>76</v>
      </c>
      <c r="C25" s="4" t="s">
        <v>37</v>
      </c>
      <c r="D25" s="4" t="s">
        <v>10</v>
      </c>
      <c r="E25" s="4">
        <v>20</v>
      </c>
    </row>
    <row r="26" spans="2:8" x14ac:dyDescent="0.3">
      <c r="B26" s="4" t="s">
        <v>77</v>
      </c>
      <c r="C26" s="4" t="s">
        <v>38</v>
      </c>
      <c r="D26" s="4" t="s">
        <v>13</v>
      </c>
      <c r="E26" s="4">
        <v>30</v>
      </c>
    </row>
    <row r="27" spans="2:8" x14ac:dyDescent="0.3">
      <c r="B27" s="4" t="s">
        <v>78</v>
      </c>
      <c r="C27" s="4" t="s">
        <v>36</v>
      </c>
      <c r="D27" s="4" t="s">
        <v>16</v>
      </c>
      <c r="E27" s="4">
        <v>40</v>
      </c>
    </row>
    <row r="28" spans="2:8" x14ac:dyDescent="0.3">
      <c r="B28" s="4" t="s">
        <v>28</v>
      </c>
      <c r="C28" s="4" t="s">
        <v>37</v>
      </c>
      <c r="D28" s="4" t="s">
        <v>19</v>
      </c>
      <c r="E28" s="4">
        <v>34</v>
      </c>
    </row>
    <row r="29" spans="2:8" x14ac:dyDescent="0.3">
      <c r="B29" s="4" t="s">
        <v>79</v>
      </c>
      <c r="C29" s="4" t="s">
        <v>38</v>
      </c>
      <c r="D29" s="4" t="s">
        <v>22</v>
      </c>
      <c r="E29" s="4">
        <v>54</v>
      </c>
    </row>
    <row r="30" spans="2:8" x14ac:dyDescent="0.3">
      <c r="B30" s="4" t="s">
        <v>23</v>
      </c>
      <c r="C30" s="4" t="s">
        <v>36</v>
      </c>
      <c r="D30" s="4" t="s">
        <v>24</v>
      </c>
      <c r="E30" s="4">
        <v>30</v>
      </c>
    </row>
    <row r="31" spans="2:8" x14ac:dyDescent="0.3">
      <c r="B31" s="4" t="s">
        <v>80</v>
      </c>
      <c r="C31" s="4" t="s">
        <v>37</v>
      </c>
      <c r="D31" s="4" t="s">
        <v>27</v>
      </c>
      <c r="E31" s="4">
        <v>10</v>
      </c>
    </row>
    <row r="32" spans="2:8" x14ac:dyDescent="0.3">
      <c r="B32" s="4" t="s">
        <v>81</v>
      </c>
      <c r="C32" s="4" t="s">
        <v>38</v>
      </c>
      <c r="D32" s="4" t="s">
        <v>30</v>
      </c>
      <c r="E32" s="4">
        <v>20</v>
      </c>
    </row>
    <row r="33" spans="2:5" x14ac:dyDescent="0.3">
      <c r="B33" s="4" t="s">
        <v>28</v>
      </c>
      <c r="C33" s="4" t="s">
        <v>36</v>
      </c>
      <c r="D33" s="4" t="s">
        <v>33</v>
      </c>
      <c r="E33" s="4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zoomScale="115" zoomScaleNormal="115" workbookViewId="0">
      <selection activeCell="G6" sqref="G6"/>
    </sheetView>
  </sheetViews>
  <sheetFormatPr defaultRowHeight="18.75" x14ac:dyDescent="0.3"/>
  <cols>
    <col min="2" max="2" width="14.3984375" customWidth="1"/>
    <col min="4" max="4" width="12.59765625" customWidth="1"/>
    <col min="7" max="7" width="13.796875" customWidth="1"/>
    <col min="8" max="8" width="9.59765625" customWidth="1"/>
  </cols>
  <sheetData>
    <row r="2" spans="2:9" x14ac:dyDescent="0.3">
      <c r="B2" s="2" t="s">
        <v>1</v>
      </c>
      <c r="C2" s="2" t="s">
        <v>35</v>
      </c>
      <c r="D2" s="2" t="s">
        <v>3</v>
      </c>
      <c r="E2" s="2" t="s">
        <v>4</v>
      </c>
      <c r="G2" s="2" t="s">
        <v>1</v>
      </c>
      <c r="H2" s="2" t="s">
        <v>35</v>
      </c>
      <c r="I2" s="2" t="s">
        <v>4</v>
      </c>
    </row>
    <row r="3" spans="2:9" x14ac:dyDescent="0.3">
      <c r="B3" s="4" t="s">
        <v>20</v>
      </c>
      <c r="C3" s="4" t="s">
        <v>36</v>
      </c>
      <c r="D3" s="4" t="s">
        <v>7</v>
      </c>
      <c r="E3" s="4">
        <v>23</v>
      </c>
      <c r="G3" s="4" t="s">
        <v>90</v>
      </c>
      <c r="H3" s="4" t="s">
        <v>53</v>
      </c>
      <c r="I3" s="4">
        <f>SUMIFS(E2:E12,B2:B12,G3,C2:C12,H3)</f>
        <v>65</v>
      </c>
    </row>
    <row r="4" spans="2:9" x14ac:dyDescent="0.3">
      <c r="B4" s="4" t="s">
        <v>23</v>
      </c>
      <c r="C4" s="4" t="s">
        <v>37</v>
      </c>
      <c r="D4" s="4" t="s">
        <v>82</v>
      </c>
      <c r="E4" s="4">
        <v>20</v>
      </c>
    </row>
    <row r="5" spans="2:9" x14ac:dyDescent="0.3">
      <c r="B5" s="4" t="s">
        <v>25</v>
      </c>
      <c r="C5" s="4" t="s">
        <v>38</v>
      </c>
      <c r="D5" s="4" t="s">
        <v>13</v>
      </c>
      <c r="E5" s="4">
        <v>30</v>
      </c>
    </row>
    <row r="6" spans="2:9" x14ac:dyDescent="0.3">
      <c r="B6" s="4" t="s">
        <v>28</v>
      </c>
      <c r="C6" s="4" t="s">
        <v>36</v>
      </c>
      <c r="D6" s="4" t="s">
        <v>7</v>
      </c>
      <c r="E6" s="4">
        <v>40</v>
      </c>
    </row>
    <row r="7" spans="2:9" x14ac:dyDescent="0.3">
      <c r="B7" s="4" t="s">
        <v>28</v>
      </c>
      <c r="C7" s="4" t="s">
        <v>37</v>
      </c>
      <c r="D7" s="4" t="s">
        <v>82</v>
      </c>
      <c r="E7" s="4">
        <v>34</v>
      </c>
    </row>
    <row r="8" spans="2:9" x14ac:dyDescent="0.3">
      <c r="B8" s="4" t="s">
        <v>20</v>
      </c>
      <c r="C8" s="4" t="s">
        <v>38</v>
      </c>
      <c r="D8" s="4" t="s">
        <v>13</v>
      </c>
      <c r="E8" s="4">
        <v>54</v>
      </c>
    </row>
    <row r="9" spans="2:9" x14ac:dyDescent="0.3">
      <c r="B9" s="4" t="s">
        <v>23</v>
      </c>
      <c r="C9" s="4" t="s">
        <v>36</v>
      </c>
      <c r="D9" s="4" t="s">
        <v>7</v>
      </c>
      <c r="E9" s="4">
        <v>30</v>
      </c>
    </row>
    <row r="10" spans="2:9" x14ac:dyDescent="0.3">
      <c r="B10" s="4" t="s">
        <v>25</v>
      </c>
      <c r="C10" s="4" t="s">
        <v>37</v>
      </c>
      <c r="D10" s="4" t="s">
        <v>82</v>
      </c>
      <c r="E10" s="4">
        <v>10</v>
      </c>
    </row>
    <row r="11" spans="2:9" x14ac:dyDescent="0.3">
      <c r="B11" s="4" t="s">
        <v>28</v>
      </c>
      <c r="C11" s="4" t="s">
        <v>38</v>
      </c>
      <c r="D11" s="4" t="s">
        <v>13</v>
      </c>
      <c r="E11" s="4">
        <v>20</v>
      </c>
    </row>
    <row r="12" spans="2:9" x14ac:dyDescent="0.3">
      <c r="B12" s="4" t="s">
        <v>28</v>
      </c>
      <c r="C12" s="4" t="s">
        <v>36</v>
      </c>
      <c r="D12" s="4" t="s">
        <v>7</v>
      </c>
      <c r="E12" s="4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zoomScale="115" zoomScaleNormal="115" workbookViewId="0">
      <selection activeCell="H4" sqref="H4"/>
    </sheetView>
  </sheetViews>
  <sheetFormatPr defaultRowHeight="18.75" x14ac:dyDescent="0.3"/>
  <cols>
    <col min="2" max="2" width="14.3984375" customWidth="1"/>
    <col min="4" max="4" width="12.59765625" customWidth="1"/>
    <col min="7" max="7" width="13.796875" customWidth="1"/>
    <col min="8" max="8" width="9.59765625" customWidth="1"/>
    <col min="9" max="9" width="13.796875" customWidth="1"/>
  </cols>
  <sheetData>
    <row r="2" spans="2:9" x14ac:dyDescent="0.3">
      <c r="B2" s="2" t="s">
        <v>1</v>
      </c>
      <c r="C2" s="2" t="s">
        <v>35</v>
      </c>
      <c r="D2" s="2" t="s">
        <v>3</v>
      </c>
      <c r="E2" s="2" t="s">
        <v>4</v>
      </c>
      <c r="G2" s="2" t="s">
        <v>1</v>
      </c>
      <c r="H2" s="2" t="s">
        <v>35</v>
      </c>
      <c r="I2" s="2" t="s">
        <v>83</v>
      </c>
    </row>
    <row r="3" spans="2:9" x14ac:dyDescent="0.3">
      <c r="B3" s="4" t="s">
        <v>20</v>
      </c>
      <c r="C3" s="4" t="s">
        <v>36</v>
      </c>
      <c r="D3" s="4" t="s">
        <v>7</v>
      </c>
      <c r="E3" s="4">
        <v>23</v>
      </c>
      <c r="G3" s="4"/>
      <c r="H3" s="4" t="s">
        <v>45</v>
      </c>
      <c r="I3" s="4">
        <f>COUNTIF(C2:C12,H3)</f>
        <v>3</v>
      </c>
    </row>
    <row r="4" spans="2:9" x14ac:dyDescent="0.3">
      <c r="B4" s="4" t="s">
        <v>23</v>
      </c>
      <c r="C4" s="4" t="s">
        <v>37</v>
      </c>
      <c r="D4" s="4" t="s">
        <v>82</v>
      </c>
      <c r="E4" s="4">
        <v>20</v>
      </c>
    </row>
    <row r="5" spans="2:9" x14ac:dyDescent="0.3">
      <c r="B5" s="4" t="s">
        <v>25</v>
      </c>
      <c r="C5" s="4" t="s">
        <v>38</v>
      </c>
      <c r="D5" s="4" t="s">
        <v>13</v>
      </c>
      <c r="E5" s="4">
        <v>30</v>
      </c>
    </row>
    <row r="6" spans="2:9" x14ac:dyDescent="0.3">
      <c r="B6" s="4" t="s">
        <v>28</v>
      </c>
      <c r="C6" s="4" t="s">
        <v>36</v>
      </c>
      <c r="D6" s="4" t="s">
        <v>7</v>
      </c>
      <c r="E6" s="4">
        <v>40</v>
      </c>
    </row>
    <row r="7" spans="2:9" x14ac:dyDescent="0.3">
      <c r="B7" s="4" t="s">
        <v>28</v>
      </c>
      <c r="C7" s="4" t="s">
        <v>37</v>
      </c>
      <c r="D7" s="4" t="s">
        <v>82</v>
      </c>
      <c r="E7" s="4">
        <v>34</v>
      </c>
    </row>
    <row r="8" spans="2:9" x14ac:dyDescent="0.3">
      <c r="B8" s="4" t="s">
        <v>20</v>
      </c>
      <c r="C8" s="4" t="s">
        <v>38</v>
      </c>
      <c r="D8" s="4" t="s">
        <v>13</v>
      </c>
      <c r="E8" s="4">
        <v>54</v>
      </c>
    </row>
    <row r="9" spans="2:9" x14ac:dyDescent="0.3">
      <c r="B9" s="4" t="s">
        <v>23</v>
      </c>
      <c r="C9" s="4" t="s">
        <v>36</v>
      </c>
      <c r="D9" s="4" t="s">
        <v>7</v>
      </c>
      <c r="E9" s="4">
        <v>30</v>
      </c>
    </row>
    <row r="10" spans="2:9" x14ac:dyDescent="0.3">
      <c r="B10" s="4" t="s">
        <v>25</v>
      </c>
      <c r="C10" s="4" t="s">
        <v>37</v>
      </c>
      <c r="D10" s="4" t="s">
        <v>82</v>
      </c>
      <c r="E10" s="4">
        <v>10</v>
      </c>
    </row>
    <row r="11" spans="2:9" x14ac:dyDescent="0.3">
      <c r="B11" s="4" t="s">
        <v>28</v>
      </c>
      <c r="C11" s="4" t="s">
        <v>38</v>
      </c>
      <c r="D11" s="4" t="s">
        <v>13</v>
      </c>
      <c r="E11" s="4">
        <v>20</v>
      </c>
    </row>
    <row r="12" spans="2:9" x14ac:dyDescent="0.3">
      <c r="B12" s="4" t="s">
        <v>28</v>
      </c>
      <c r="C12" s="4" t="s">
        <v>36</v>
      </c>
      <c r="D12" s="4" t="s">
        <v>7</v>
      </c>
      <c r="E12" s="4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zoomScale="115" zoomScaleNormal="115" workbookViewId="0">
      <selection activeCell="H9" sqref="H9"/>
    </sheetView>
  </sheetViews>
  <sheetFormatPr defaultRowHeight="18.75" x14ac:dyDescent="0.3"/>
  <cols>
    <col min="2" max="2" width="14.3984375" customWidth="1"/>
    <col min="4" max="4" width="12.59765625" customWidth="1"/>
    <col min="7" max="7" width="13.796875" customWidth="1"/>
    <col min="8" max="8" width="9.59765625" customWidth="1"/>
    <col min="9" max="9" width="12.796875" customWidth="1"/>
  </cols>
  <sheetData>
    <row r="2" spans="2:9" x14ac:dyDescent="0.3">
      <c r="B2" s="2" t="s">
        <v>1</v>
      </c>
      <c r="C2" s="2" t="s">
        <v>35</v>
      </c>
      <c r="D2" s="2" t="s">
        <v>3</v>
      </c>
      <c r="E2" s="2" t="s">
        <v>4</v>
      </c>
      <c r="G2" s="2" t="s">
        <v>1</v>
      </c>
      <c r="H2" s="2" t="s">
        <v>35</v>
      </c>
      <c r="I2" s="2" t="s">
        <v>83</v>
      </c>
    </row>
    <row r="3" spans="2:9" x14ac:dyDescent="0.3">
      <c r="B3" s="4" t="s">
        <v>20</v>
      </c>
      <c r="C3" s="4" t="s">
        <v>36</v>
      </c>
      <c r="D3" s="4" t="s">
        <v>7</v>
      </c>
      <c r="E3" s="4">
        <v>23</v>
      </c>
      <c r="G3" s="4" t="s">
        <v>88</v>
      </c>
      <c r="H3" s="4" t="s">
        <v>53</v>
      </c>
      <c r="I3" s="4">
        <f>COUNTIFS(B2:B12,G3,C2:C12,H3)</f>
        <v>2</v>
      </c>
    </row>
    <row r="4" spans="2:9" x14ac:dyDescent="0.3">
      <c r="B4" s="4" t="s">
        <v>23</v>
      </c>
      <c r="C4" s="4" t="s">
        <v>37</v>
      </c>
      <c r="D4" s="4" t="s">
        <v>82</v>
      </c>
      <c r="E4" s="4">
        <v>20</v>
      </c>
    </row>
    <row r="5" spans="2:9" x14ac:dyDescent="0.3">
      <c r="B5" s="4" t="s">
        <v>25</v>
      </c>
      <c r="C5" s="4" t="s">
        <v>38</v>
      </c>
      <c r="D5" s="4" t="s">
        <v>13</v>
      </c>
      <c r="E5" s="4">
        <v>30</v>
      </c>
    </row>
    <row r="6" spans="2:9" x14ac:dyDescent="0.3">
      <c r="B6" s="4" t="s">
        <v>28</v>
      </c>
      <c r="C6" s="4" t="s">
        <v>36</v>
      </c>
      <c r="D6" s="4" t="s">
        <v>7</v>
      </c>
      <c r="E6" s="4">
        <v>40</v>
      </c>
    </row>
    <row r="7" spans="2:9" x14ac:dyDescent="0.3">
      <c r="B7" s="4" t="s">
        <v>28</v>
      </c>
      <c r="C7" s="4" t="s">
        <v>37</v>
      </c>
      <c r="D7" s="4" t="s">
        <v>82</v>
      </c>
      <c r="E7" s="4">
        <v>34</v>
      </c>
    </row>
    <row r="8" spans="2:9" x14ac:dyDescent="0.3">
      <c r="B8" s="4" t="s">
        <v>20</v>
      </c>
      <c r="C8" s="4" t="s">
        <v>38</v>
      </c>
      <c r="D8" s="4" t="s">
        <v>13</v>
      </c>
      <c r="E8" s="4">
        <v>54</v>
      </c>
    </row>
    <row r="9" spans="2:9" x14ac:dyDescent="0.3">
      <c r="B9" s="4" t="s">
        <v>23</v>
      </c>
      <c r="C9" s="4" t="s">
        <v>36</v>
      </c>
      <c r="D9" s="4" t="s">
        <v>7</v>
      </c>
      <c r="E9" s="4">
        <v>30</v>
      </c>
    </row>
    <row r="10" spans="2:9" x14ac:dyDescent="0.3">
      <c r="B10" s="4" t="s">
        <v>25</v>
      </c>
      <c r="C10" s="4" t="s">
        <v>37</v>
      </c>
      <c r="D10" s="4" t="s">
        <v>82</v>
      </c>
      <c r="E10" s="4">
        <v>10</v>
      </c>
    </row>
    <row r="11" spans="2:9" x14ac:dyDescent="0.3">
      <c r="B11" s="4" t="s">
        <v>28</v>
      </c>
      <c r="C11" s="4" t="s">
        <v>38</v>
      </c>
      <c r="D11" s="4" t="s">
        <v>13</v>
      </c>
      <c r="E11" s="4">
        <v>20</v>
      </c>
    </row>
    <row r="12" spans="2:9" x14ac:dyDescent="0.3">
      <c r="B12" s="4" t="s">
        <v>28</v>
      </c>
      <c r="C12" s="4" t="s">
        <v>36</v>
      </c>
      <c r="D12" s="4" t="s">
        <v>7</v>
      </c>
      <c r="E12" s="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Vlookup</vt:lpstr>
      <vt:lpstr>Hlookup</vt:lpstr>
      <vt:lpstr>Xlookup</vt:lpstr>
      <vt:lpstr>Picture Lookup</vt:lpstr>
      <vt:lpstr>Filter</vt:lpstr>
      <vt:lpstr>iferror</vt:lpstr>
      <vt:lpstr>&amp; Formula</vt:lpstr>
      <vt:lpstr>Textjoin</vt:lpstr>
      <vt:lpstr>Sumif</vt:lpstr>
      <vt:lpstr>Sumifs</vt:lpstr>
      <vt:lpstr>Countif</vt:lpstr>
      <vt:lpstr>Countifs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hp</cp:lastModifiedBy>
  <dcterms:created xsi:type="dcterms:W3CDTF">2023-08-17T11:42:09Z</dcterms:created>
  <dcterms:modified xsi:type="dcterms:W3CDTF">2025-11-23T01:41:09Z</dcterms:modified>
</cp:coreProperties>
</file>