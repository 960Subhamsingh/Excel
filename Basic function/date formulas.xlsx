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Basic function\"/>
    </mc:Choice>
  </mc:AlternateContent>
  <bookViews>
    <workbookView xWindow="0" yWindow="0" windowWidth="20490" windowHeight="7620" activeTab="1"/>
  </bookViews>
  <sheets>
    <sheet name="Sheet1" sheetId="1" r:id="rId1"/>
    <sheet name="Sheet5" sheetId="5" r:id="rId2"/>
    <sheet name="Sheet4" sheetId="4" r:id="rId3"/>
    <sheet name="Edate" sheetId="2" r:id="rId4"/>
    <sheet name="Sheet3" sheetId="3" r:id="rId5"/>
    <sheet name="Sheet6" sheetId="6" r:id="rId6"/>
    <sheet name="Sheet7" sheetId="7" r:id="rId7"/>
    <sheet name="Sheet8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5" l="1"/>
  <c r="E8" i="5"/>
  <c r="D4" i="2" l="1"/>
  <c r="D5" i="2"/>
  <c r="D6" i="2"/>
  <c r="D3" i="2"/>
  <c r="C2" i="8"/>
  <c r="E10" i="4"/>
  <c r="E8" i="3"/>
  <c r="E14" i="6"/>
  <c r="D4" i="6"/>
  <c r="D5" i="6"/>
  <c r="D6" i="6"/>
  <c r="D7" i="6"/>
  <c r="D8" i="6"/>
  <c r="D9" i="6"/>
  <c r="D3" i="6"/>
  <c r="E18" i="5"/>
  <c r="E3" i="5"/>
  <c r="E4" i="5"/>
  <c r="E5" i="5"/>
  <c r="E6" i="5"/>
  <c r="E7" i="5"/>
  <c r="E4" i="4"/>
  <c r="E5" i="4"/>
  <c r="E6" i="4"/>
  <c r="E7" i="4"/>
  <c r="E3" i="4"/>
  <c r="H4" i="5"/>
  <c r="H3" i="5"/>
  <c r="H4" i="4"/>
  <c r="H3" i="4"/>
  <c r="C3" i="3"/>
  <c r="C4" i="3"/>
  <c r="C5" i="3"/>
  <c r="C4" i="2"/>
  <c r="C5" i="2"/>
  <c r="C6" i="2"/>
  <c r="C7" i="2"/>
  <c r="C8" i="2"/>
  <c r="C9" i="2"/>
  <c r="C10" i="2"/>
  <c r="C11" i="2"/>
  <c r="C3" i="2"/>
</calcChain>
</file>

<file path=xl/sharedStrings.xml><?xml version="1.0" encoding="utf-8"?>
<sst xmlns="http://schemas.openxmlformats.org/spreadsheetml/2006/main" count="76" uniqueCount="58">
  <si>
    <t>edate</t>
  </si>
  <si>
    <t>eomonth</t>
  </si>
  <si>
    <t>year</t>
  </si>
  <si>
    <t>day</t>
  </si>
  <si>
    <t>month</t>
  </si>
  <si>
    <t>today</t>
  </si>
  <si>
    <t>Day</t>
  </si>
  <si>
    <t>Days</t>
  </si>
  <si>
    <t>datedif</t>
  </si>
  <si>
    <t>days</t>
  </si>
  <si>
    <t>days360</t>
  </si>
  <si>
    <t>networkdays</t>
  </si>
  <si>
    <t>networkdays.intl</t>
  </si>
  <si>
    <t>now</t>
  </si>
  <si>
    <t>weeknum</t>
  </si>
  <si>
    <t>workday</t>
  </si>
  <si>
    <t>workday.intl</t>
  </si>
  <si>
    <t>Task Start Date</t>
  </si>
  <si>
    <t>Task End Date</t>
  </si>
  <si>
    <t>Date</t>
  </si>
  <si>
    <t>Last Date of Month</t>
  </si>
  <si>
    <t>Policy Date</t>
  </si>
  <si>
    <t>Next Renue Date After 3 Month</t>
  </si>
  <si>
    <t>Holidays Date</t>
  </si>
  <si>
    <t>networkday</t>
  </si>
  <si>
    <t>networkday.intl</t>
  </si>
  <si>
    <t>Task 1</t>
  </si>
  <si>
    <t>Task 2</t>
  </si>
  <si>
    <t>Task Name</t>
  </si>
  <si>
    <t>Task 3</t>
  </si>
  <si>
    <t>Task 4</t>
  </si>
  <si>
    <t>Task 5</t>
  </si>
  <si>
    <t>Duration (Working Days)</t>
  </si>
  <si>
    <t>Task Finished Date</t>
  </si>
  <si>
    <t>Total Working Day</t>
  </si>
  <si>
    <t>Emp ID</t>
  </si>
  <si>
    <t>Joining Date</t>
  </si>
  <si>
    <t>E001</t>
  </si>
  <si>
    <t>E002</t>
  </si>
  <si>
    <t>E003</t>
  </si>
  <si>
    <t>E004</t>
  </si>
  <si>
    <t>E005</t>
  </si>
  <si>
    <t>E006</t>
  </si>
  <si>
    <t>E007</t>
  </si>
  <si>
    <t>Joining Year</t>
  </si>
  <si>
    <t>Year Month Day</t>
  </si>
  <si>
    <t xml:space="preserve">year </t>
  </si>
  <si>
    <t>Name</t>
  </si>
  <si>
    <t>Name 1</t>
  </si>
  <si>
    <t>Name 2</t>
  </si>
  <si>
    <t>Name 3</t>
  </si>
  <si>
    <t>Name 4</t>
  </si>
  <si>
    <t>Name 5</t>
  </si>
  <si>
    <t>Birth Date</t>
  </si>
  <si>
    <t>Today Date</t>
  </si>
  <si>
    <t>Age</t>
  </si>
  <si>
    <t>date</t>
  </si>
  <si>
    <t>Total WORKING DASES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</si>
</sst>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"/>
  </numFmts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/>
    <xf numFmtId="164" fontId="0" fillId="0" borderId="1" xfId="0" applyNumberFormat="1" applyBorder="1"/>
    <xf numFmtId="0" fontId="1" fillId="2" borderId="2" xfId="0" applyFont="1" applyFill="1" applyBorder="1"/>
    <xf numFmtId="14" fontId="0" fillId="0" borderId="3" xfId="0" applyNumberFormat="1" applyFill="1" applyBorder="1"/>
    <xf numFmtId="1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workbookViewId="0">
      <selection activeCell="F7" sqref="F7"/>
    </sheetView>
  </sheetViews>
  <sheetFormatPr defaultRowHeight="18.75" x14ac:dyDescent="0.3"/>
  <cols>
    <col min="2" max="2" width="14.8984375" customWidth="1"/>
    <col min="4" max="4" width="17" customWidth="1"/>
  </cols>
  <sheetData>
    <row r="2" spans="2:4" x14ac:dyDescent="0.3">
      <c r="B2" s="6" t="s">
        <v>0</v>
      </c>
      <c r="D2" t="s">
        <v>15</v>
      </c>
    </row>
    <row r="3" spans="2:4" x14ac:dyDescent="0.3">
      <c r="B3" s="6" t="s">
        <v>1</v>
      </c>
      <c r="D3" t="s">
        <v>16</v>
      </c>
    </row>
    <row r="4" spans="2:4" x14ac:dyDescent="0.3">
      <c r="B4" s="6" t="s">
        <v>2</v>
      </c>
      <c r="D4" t="s">
        <v>24</v>
      </c>
    </row>
    <row r="5" spans="2:4" x14ac:dyDescent="0.3">
      <c r="B5" s="6" t="s">
        <v>3</v>
      </c>
      <c r="D5" t="s">
        <v>25</v>
      </c>
    </row>
    <row r="6" spans="2:4" x14ac:dyDescent="0.3">
      <c r="B6" s="6" t="s">
        <v>4</v>
      </c>
      <c r="D6" t="s">
        <v>0</v>
      </c>
    </row>
    <row r="7" spans="2:4" x14ac:dyDescent="0.3">
      <c r="B7" s="6" t="s">
        <v>5</v>
      </c>
      <c r="D7" t="s">
        <v>1</v>
      </c>
    </row>
    <row r="8" spans="2:4" x14ac:dyDescent="0.3">
      <c r="B8" s="6"/>
      <c r="D8" t="s">
        <v>8</v>
      </c>
    </row>
    <row r="9" spans="2:4" x14ac:dyDescent="0.3">
      <c r="B9" t="s">
        <v>10</v>
      </c>
      <c r="D9" t="s">
        <v>9</v>
      </c>
    </row>
    <row r="10" spans="2:4" x14ac:dyDescent="0.3">
      <c r="B10" s="6" t="s">
        <v>7</v>
      </c>
      <c r="D10" t="s">
        <v>46</v>
      </c>
    </row>
    <row r="11" spans="2:4" x14ac:dyDescent="0.3">
      <c r="B11" s="6" t="s">
        <v>8</v>
      </c>
      <c r="D11" t="s">
        <v>4</v>
      </c>
    </row>
    <row r="12" spans="2:4" x14ac:dyDescent="0.3">
      <c r="B12" s="6" t="s">
        <v>11</v>
      </c>
      <c r="D12" t="s">
        <v>3</v>
      </c>
    </row>
    <row r="13" spans="2:4" x14ac:dyDescent="0.3">
      <c r="B13" s="6" t="s">
        <v>12</v>
      </c>
      <c r="D13" t="s">
        <v>5</v>
      </c>
    </row>
    <row r="14" spans="2:4" x14ac:dyDescent="0.3">
      <c r="B14" t="s">
        <v>13</v>
      </c>
      <c r="D14" t="s">
        <v>14</v>
      </c>
    </row>
    <row r="15" spans="2:4" x14ac:dyDescent="0.3">
      <c r="D15" t="s">
        <v>56</v>
      </c>
    </row>
    <row r="16" spans="2:4" x14ac:dyDescent="0.3">
      <c r="B16" s="6" t="s">
        <v>14</v>
      </c>
    </row>
    <row r="17" spans="2:2" x14ac:dyDescent="0.3">
      <c r="B17" s="6" t="s">
        <v>15</v>
      </c>
    </row>
    <row r="18" spans="2:2" x14ac:dyDescent="0.3">
      <c r="B18" s="6" t="s">
        <v>16</v>
      </c>
    </row>
  </sheetData>
  <dataValidations count="1">
    <dataValidation type="custom" allowBlank="1" showInputMessage="1" showErrorMessage="1" sqref="A1:A1048576">
      <formula1>ISNONTEXT($A1)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8"/>
  <sheetViews>
    <sheetView tabSelected="1" zoomScale="115" zoomScaleNormal="115" workbookViewId="0">
      <selection activeCell="A10" sqref="A10:XFD10"/>
    </sheetView>
  </sheetViews>
  <sheetFormatPr defaultRowHeight="18.75" x14ac:dyDescent="0.3"/>
  <cols>
    <col min="1" max="1" width="5.19921875" customWidth="1"/>
    <col min="2" max="2" width="10.796875" customWidth="1"/>
    <col min="3" max="3" width="14.59765625" customWidth="1"/>
    <col min="4" max="4" width="20.69921875" customWidth="1"/>
    <col min="5" max="5" width="21.296875" customWidth="1"/>
    <col min="6" max="6" width="7.296875" customWidth="1"/>
    <col min="7" max="7" width="14.296875" customWidth="1"/>
  </cols>
  <sheetData>
    <row r="2" spans="2:8" x14ac:dyDescent="0.3">
      <c r="B2" s="4" t="s">
        <v>28</v>
      </c>
      <c r="C2" s="4" t="s">
        <v>17</v>
      </c>
      <c r="D2" s="4" t="s">
        <v>32</v>
      </c>
      <c r="E2" s="4" t="s">
        <v>33</v>
      </c>
      <c r="G2" s="7" t="s">
        <v>23</v>
      </c>
      <c r="H2" s="4" t="s">
        <v>6</v>
      </c>
    </row>
    <row r="3" spans="2:8" x14ac:dyDescent="0.3">
      <c r="B3" s="2" t="s">
        <v>26</v>
      </c>
      <c r="C3" s="3">
        <v>44562</v>
      </c>
      <c r="D3" s="2">
        <v>10</v>
      </c>
      <c r="E3" s="3">
        <f>MONTH(C3)</f>
        <v>1</v>
      </c>
      <c r="G3" s="8">
        <v>44575</v>
      </c>
      <c r="H3" s="2" t="str">
        <f>TEXT(G3,"ddd")</f>
        <v>Fri</v>
      </c>
    </row>
    <row r="4" spans="2:8" x14ac:dyDescent="0.3">
      <c r="B4" s="2" t="s">
        <v>27</v>
      </c>
      <c r="C4" s="3">
        <v>44574</v>
      </c>
      <c r="D4" s="2">
        <v>15</v>
      </c>
      <c r="E4" s="3">
        <f t="shared" ref="E4:E7" si="0">YEAR(C4)</f>
        <v>2022</v>
      </c>
      <c r="G4" s="8">
        <v>44587</v>
      </c>
      <c r="H4" s="2" t="str">
        <f>TEXT(G4,"ddd")</f>
        <v>Wed</v>
      </c>
    </row>
    <row r="5" spans="2:8" x14ac:dyDescent="0.3">
      <c r="B5" s="2" t="s">
        <v>29</v>
      </c>
      <c r="C5" s="3">
        <v>44581</v>
      </c>
      <c r="D5" s="2">
        <v>7</v>
      </c>
      <c r="E5" s="3">
        <f t="shared" si="0"/>
        <v>2022</v>
      </c>
    </row>
    <row r="6" spans="2:8" x14ac:dyDescent="0.3">
      <c r="B6" s="2" t="s">
        <v>30</v>
      </c>
      <c r="C6" s="3">
        <v>44566</v>
      </c>
      <c r="D6" s="2">
        <v>12</v>
      </c>
      <c r="E6" s="3">
        <f t="shared" si="0"/>
        <v>2022</v>
      </c>
    </row>
    <row r="7" spans="2:8" x14ac:dyDescent="0.3">
      <c r="B7" s="2" t="s">
        <v>31</v>
      </c>
      <c r="C7" s="3">
        <v>10</v>
      </c>
      <c r="D7" s="2">
        <v>15</v>
      </c>
      <c r="E7" s="3">
        <f t="shared" si="0"/>
        <v>1900</v>
      </c>
    </row>
    <row r="8" spans="2:8" x14ac:dyDescent="0.3">
      <c r="D8" t="s">
        <v>57</v>
      </c>
      <c r="E8" s="13">
        <f>WORKDAY(C3,D3)</f>
        <v>44575</v>
      </c>
    </row>
    <row r="9" spans="2:8" x14ac:dyDescent="0.3">
      <c r="E9" s="13">
        <f>WORKDAY(C3,D3,G3:G4)</f>
        <v>44578</v>
      </c>
    </row>
    <row r="10" spans="2:8" x14ac:dyDescent="0.3">
      <c r="E10" s="14"/>
    </row>
    <row r="11" spans="2:8" x14ac:dyDescent="0.3">
      <c r="E11" s="14"/>
    </row>
    <row r="13" spans="2:8" x14ac:dyDescent="0.3">
      <c r="C13" s="10">
        <v>44572</v>
      </c>
    </row>
    <row r="17" spans="4:5" x14ac:dyDescent="0.3">
      <c r="D17" s="1">
        <v>44562</v>
      </c>
    </row>
    <row r="18" spans="4:5" x14ac:dyDescent="0.3">
      <c r="E18">
        <f>YEAR(D17)</f>
        <v>2022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"/>
  <sheetViews>
    <sheetView zoomScale="115" zoomScaleNormal="115" workbookViewId="0">
      <selection activeCell="B2" sqref="B2:D7"/>
    </sheetView>
  </sheetViews>
  <sheetFormatPr defaultRowHeight="18.75" x14ac:dyDescent="0.3"/>
  <cols>
    <col min="1" max="1" width="5.19921875" customWidth="1"/>
    <col min="2" max="2" width="10.296875" customWidth="1"/>
    <col min="3" max="3" width="12.19921875" customWidth="1"/>
    <col min="4" max="4" width="13.8984375" customWidth="1"/>
    <col min="5" max="5" width="15.19921875" customWidth="1"/>
    <col min="7" max="7" width="14.3984375" style="9" customWidth="1"/>
  </cols>
  <sheetData>
    <row r="2" spans="2:8" x14ac:dyDescent="0.3">
      <c r="B2" s="4" t="s">
        <v>28</v>
      </c>
      <c r="C2" s="4" t="s">
        <v>17</v>
      </c>
      <c r="D2" s="4" t="s">
        <v>18</v>
      </c>
      <c r="E2" s="4" t="s">
        <v>34</v>
      </c>
      <c r="G2" s="7" t="s">
        <v>23</v>
      </c>
      <c r="H2" s="4" t="s">
        <v>6</v>
      </c>
    </row>
    <row r="3" spans="2:8" x14ac:dyDescent="0.3">
      <c r="B3" s="2" t="s">
        <v>26</v>
      </c>
      <c r="C3" s="3">
        <v>44564</v>
      </c>
      <c r="D3" s="3">
        <v>44581</v>
      </c>
      <c r="E3" s="2">
        <f>_xlfn.DAYS(D3,C3)</f>
        <v>17</v>
      </c>
      <c r="G3" s="8">
        <v>44575</v>
      </c>
      <c r="H3" s="2" t="str">
        <f>TEXT(G3,"ddd")</f>
        <v>Fri</v>
      </c>
    </row>
    <row r="4" spans="2:8" x14ac:dyDescent="0.3">
      <c r="B4" s="2" t="s">
        <v>27</v>
      </c>
      <c r="C4" s="3">
        <v>44574</v>
      </c>
      <c r="D4" s="3">
        <v>44586</v>
      </c>
      <c r="E4" s="2">
        <f t="shared" ref="E4:E7" si="0">_xlfn.DAYS(D4,C4)</f>
        <v>12</v>
      </c>
      <c r="G4" s="8">
        <v>44587</v>
      </c>
      <c r="H4" s="2" t="str">
        <f>TEXT(G4,"ddd")</f>
        <v>Wed</v>
      </c>
    </row>
    <row r="5" spans="2:8" x14ac:dyDescent="0.3">
      <c r="B5" s="2" t="s">
        <v>29</v>
      </c>
      <c r="C5" s="3">
        <v>44581</v>
      </c>
      <c r="D5" s="3">
        <v>44607</v>
      </c>
      <c r="E5" s="2">
        <f t="shared" si="0"/>
        <v>26</v>
      </c>
    </row>
    <row r="6" spans="2:8" x14ac:dyDescent="0.3">
      <c r="B6" s="2" t="s">
        <v>30</v>
      </c>
      <c r="C6" s="3">
        <v>44566</v>
      </c>
      <c r="D6" s="3">
        <v>44613</v>
      </c>
      <c r="E6" s="2">
        <f t="shared" si="0"/>
        <v>47</v>
      </c>
    </row>
    <row r="7" spans="2:8" x14ac:dyDescent="0.3">
      <c r="B7" s="2" t="s">
        <v>31</v>
      </c>
      <c r="C7" s="3">
        <v>10</v>
      </c>
      <c r="D7" s="3">
        <v>44620</v>
      </c>
      <c r="E7" s="2">
        <f t="shared" si="0"/>
        <v>44610</v>
      </c>
    </row>
    <row r="10" spans="2:8" x14ac:dyDescent="0.3">
      <c r="E10">
        <f>DATEDIF(C3,D3,"d")</f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zoomScale="130" zoomScaleNormal="130" workbookViewId="0">
      <selection activeCell="E6" sqref="E6"/>
    </sheetView>
  </sheetViews>
  <sheetFormatPr defaultRowHeight="18.75" x14ac:dyDescent="0.3"/>
  <cols>
    <col min="2" max="2" width="12.69921875" customWidth="1"/>
    <col min="3" max="3" width="28.19921875" customWidth="1"/>
    <col min="4" max="4" width="16.3984375" customWidth="1"/>
  </cols>
  <sheetData>
    <row r="2" spans="2:4" x14ac:dyDescent="0.3">
      <c r="B2" s="5" t="s">
        <v>21</v>
      </c>
      <c r="C2" s="5" t="s">
        <v>22</v>
      </c>
    </row>
    <row r="3" spans="2:4" x14ac:dyDescent="0.3">
      <c r="B3" s="3">
        <v>44562</v>
      </c>
      <c r="C3" s="3">
        <f>EDATE(B3,3)</f>
        <v>44652</v>
      </c>
      <c r="D3" s="3">
        <f>EOMONTH(B3,-1)+1</f>
        <v>44562</v>
      </c>
    </row>
    <row r="4" spans="2:4" x14ac:dyDescent="0.3">
      <c r="B4" s="3">
        <v>44563</v>
      </c>
      <c r="C4" s="3">
        <f t="shared" ref="C4:C11" si="0">EDATE(B4,3)</f>
        <v>44653</v>
      </c>
      <c r="D4" s="3">
        <f t="shared" ref="D4:D6" si="1">EOMONTH(B4,-1)+1</f>
        <v>44562</v>
      </c>
    </row>
    <row r="5" spans="2:4" x14ac:dyDescent="0.3">
      <c r="B5" s="3">
        <v>44564</v>
      </c>
      <c r="C5" s="3">
        <f t="shared" si="0"/>
        <v>44654</v>
      </c>
      <c r="D5" s="3">
        <f t="shared" si="1"/>
        <v>44562</v>
      </c>
    </row>
    <row r="6" spans="2:4" x14ac:dyDescent="0.3">
      <c r="B6" s="3">
        <v>44565</v>
      </c>
      <c r="C6" s="3">
        <f t="shared" si="0"/>
        <v>44655</v>
      </c>
      <c r="D6" s="3">
        <f t="shared" si="1"/>
        <v>44562</v>
      </c>
    </row>
    <row r="7" spans="2:4" x14ac:dyDescent="0.3">
      <c r="B7" s="3">
        <v>44566</v>
      </c>
      <c r="C7" s="3">
        <f t="shared" si="0"/>
        <v>44656</v>
      </c>
    </row>
    <row r="8" spans="2:4" x14ac:dyDescent="0.3">
      <c r="B8" s="3">
        <v>44567</v>
      </c>
      <c r="C8" s="3">
        <f t="shared" si="0"/>
        <v>44657</v>
      </c>
    </row>
    <row r="9" spans="2:4" x14ac:dyDescent="0.3">
      <c r="B9" s="3">
        <v>44568</v>
      </c>
      <c r="C9" s="3">
        <f t="shared" si="0"/>
        <v>44658</v>
      </c>
    </row>
    <row r="10" spans="2:4" x14ac:dyDescent="0.3">
      <c r="B10" s="3">
        <v>44569</v>
      </c>
      <c r="C10" s="3">
        <f t="shared" si="0"/>
        <v>44659</v>
      </c>
    </row>
    <row r="11" spans="2:4" x14ac:dyDescent="0.3">
      <c r="B11" s="3">
        <v>44570</v>
      </c>
      <c r="C11" s="3">
        <f t="shared" si="0"/>
        <v>44660</v>
      </c>
    </row>
    <row r="12" spans="2:4" x14ac:dyDescent="0.3">
      <c r="B12" s="3">
        <v>44571</v>
      </c>
      <c r="C12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zoomScale="130" zoomScaleNormal="130" workbookViewId="0">
      <selection activeCell="E8" sqref="E8"/>
    </sheetView>
  </sheetViews>
  <sheetFormatPr defaultRowHeight="18.75" x14ac:dyDescent="0.3"/>
  <cols>
    <col min="2" max="2" width="11.09765625" customWidth="1"/>
    <col min="3" max="3" width="17.296875" customWidth="1"/>
  </cols>
  <sheetData>
    <row r="2" spans="2:5" x14ac:dyDescent="0.3">
      <c r="B2" t="s">
        <v>19</v>
      </c>
      <c r="C2" t="s">
        <v>20</v>
      </c>
    </row>
    <row r="3" spans="2:5" x14ac:dyDescent="0.3">
      <c r="B3" s="1">
        <v>44724</v>
      </c>
      <c r="C3" s="1">
        <f>EOMONTH(B3,-1)</f>
        <v>44712</v>
      </c>
    </row>
    <row r="4" spans="2:5" x14ac:dyDescent="0.3">
      <c r="B4" s="1">
        <v>44563</v>
      </c>
      <c r="C4" s="1">
        <f t="shared" ref="C4:C5" si="0">EOMONTH(B4,1)</f>
        <v>44620</v>
      </c>
    </row>
    <row r="5" spans="2:5" x14ac:dyDescent="0.3">
      <c r="B5" s="1">
        <v>44564</v>
      </c>
      <c r="C5" s="1">
        <f t="shared" si="0"/>
        <v>44620</v>
      </c>
    </row>
    <row r="6" spans="2:5" x14ac:dyDescent="0.3">
      <c r="B6" s="1">
        <v>44565</v>
      </c>
      <c r="C6" s="1"/>
    </row>
    <row r="7" spans="2:5" x14ac:dyDescent="0.3">
      <c r="B7" s="1">
        <v>44566</v>
      </c>
      <c r="C7" s="1"/>
    </row>
    <row r="8" spans="2:5" x14ac:dyDescent="0.3">
      <c r="B8" s="1">
        <v>44567</v>
      </c>
      <c r="C8" s="1"/>
      <c r="E8">
        <f>WEEKNUM(B3)</f>
        <v>25</v>
      </c>
    </row>
    <row r="9" spans="2:5" x14ac:dyDescent="0.3">
      <c r="B9" s="1">
        <v>44568</v>
      </c>
      <c r="C9" s="1"/>
    </row>
    <row r="10" spans="2:5" x14ac:dyDescent="0.3">
      <c r="B10" s="1">
        <v>44569</v>
      </c>
      <c r="C10" s="1"/>
    </row>
    <row r="11" spans="2:5" x14ac:dyDescent="0.3">
      <c r="B11" s="1">
        <v>44570</v>
      </c>
      <c r="C11" s="1"/>
    </row>
    <row r="12" spans="2:5" x14ac:dyDescent="0.3">
      <c r="B12" s="1">
        <v>44571</v>
      </c>
      <c r="C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zoomScale="115" zoomScaleNormal="115" workbookViewId="0">
      <selection activeCell="B12" sqref="B12"/>
    </sheetView>
  </sheetViews>
  <sheetFormatPr defaultRowHeight="18.75" x14ac:dyDescent="0.3"/>
  <cols>
    <col min="2" max="2" width="9.796875" customWidth="1"/>
    <col min="3" max="4" width="15.19921875" customWidth="1"/>
    <col min="5" max="5" width="11.09765625" customWidth="1"/>
  </cols>
  <sheetData>
    <row r="2" spans="2:5" x14ac:dyDescent="0.3">
      <c r="B2" s="4" t="s">
        <v>35</v>
      </c>
      <c r="C2" s="4" t="s">
        <v>36</v>
      </c>
      <c r="D2" s="4" t="s">
        <v>44</v>
      </c>
    </row>
    <row r="3" spans="2:5" x14ac:dyDescent="0.3">
      <c r="B3" s="2" t="s">
        <v>37</v>
      </c>
      <c r="C3" s="11">
        <v>40909</v>
      </c>
      <c r="D3" s="2">
        <f>YEAR(C3)</f>
        <v>2012</v>
      </c>
    </row>
    <row r="4" spans="2:5" x14ac:dyDescent="0.3">
      <c r="B4" s="2" t="s">
        <v>38</v>
      </c>
      <c r="C4" s="11">
        <v>41699</v>
      </c>
      <c r="D4" s="2">
        <f t="shared" ref="D4:D9" si="0">YEAR(C4)</f>
        <v>2014</v>
      </c>
    </row>
    <row r="5" spans="2:5" x14ac:dyDescent="0.3">
      <c r="B5" s="2" t="s">
        <v>39</v>
      </c>
      <c r="C5" s="11">
        <v>40565</v>
      </c>
      <c r="D5" s="2">
        <f t="shared" si="0"/>
        <v>2011</v>
      </c>
    </row>
    <row r="6" spans="2:5" x14ac:dyDescent="0.3">
      <c r="B6" s="2" t="s">
        <v>40</v>
      </c>
      <c r="C6" s="11">
        <v>40931</v>
      </c>
      <c r="D6" s="2">
        <f t="shared" si="0"/>
        <v>2012</v>
      </c>
    </row>
    <row r="7" spans="2:5" x14ac:dyDescent="0.3">
      <c r="B7" s="2" t="s">
        <v>41</v>
      </c>
      <c r="C7" s="11">
        <v>43133</v>
      </c>
      <c r="D7" s="2">
        <f t="shared" si="0"/>
        <v>2018</v>
      </c>
    </row>
    <row r="8" spans="2:5" x14ac:dyDescent="0.3">
      <c r="B8" s="2" t="s">
        <v>42</v>
      </c>
      <c r="C8" s="11">
        <v>40912</v>
      </c>
      <c r="D8" s="2">
        <f t="shared" si="0"/>
        <v>2012</v>
      </c>
    </row>
    <row r="9" spans="2:5" x14ac:dyDescent="0.3">
      <c r="B9" s="2" t="s">
        <v>43</v>
      </c>
      <c r="C9" s="11">
        <v>41310</v>
      </c>
      <c r="D9" s="2">
        <f t="shared" si="0"/>
        <v>2013</v>
      </c>
    </row>
    <row r="11" spans="2:5" x14ac:dyDescent="0.3">
      <c r="B11" t="s">
        <v>45</v>
      </c>
    </row>
    <row r="14" spans="2:5" x14ac:dyDescent="0.3">
      <c r="E14">
        <f>COUNTIF(D3:D9,2012)</f>
        <v>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zoomScale="115" zoomScaleNormal="115" workbookViewId="0">
      <selection activeCell="D14" sqref="D14"/>
    </sheetView>
  </sheetViews>
  <sheetFormatPr defaultRowHeight="18.75" x14ac:dyDescent="0.3"/>
  <cols>
    <col min="3" max="4" width="14.59765625" customWidth="1"/>
    <col min="5" max="5" width="14.09765625" customWidth="1"/>
  </cols>
  <sheetData>
    <row r="2" spans="2:5" x14ac:dyDescent="0.3">
      <c r="B2" s="4" t="s">
        <v>47</v>
      </c>
      <c r="C2" s="4" t="s">
        <v>53</v>
      </c>
      <c r="D2" s="4" t="s">
        <v>54</v>
      </c>
      <c r="E2" s="12" t="s">
        <v>55</v>
      </c>
    </row>
    <row r="3" spans="2:5" x14ac:dyDescent="0.3">
      <c r="B3" s="2" t="s">
        <v>48</v>
      </c>
      <c r="C3" s="3">
        <v>44564</v>
      </c>
      <c r="D3" s="3">
        <v>44581</v>
      </c>
    </row>
    <row r="4" spans="2:5" x14ac:dyDescent="0.3">
      <c r="B4" s="2" t="s">
        <v>49</v>
      </c>
      <c r="C4" s="3">
        <v>44574</v>
      </c>
      <c r="D4" s="3">
        <v>44586</v>
      </c>
    </row>
    <row r="5" spans="2:5" x14ac:dyDescent="0.3">
      <c r="B5" s="2" t="s">
        <v>50</v>
      </c>
      <c r="C5" s="3">
        <v>44581</v>
      </c>
      <c r="D5" s="3">
        <v>44607</v>
      </c>
    </row>
    <row r="6" spans="2:5" x14ac:dyDescent="0.3">
      <c r="B6" s="2" t="s">
        <v>51</v>
      </c>
      <c r="C6" s="3">
        <v>44566</v>
      </c>
      <c r="D6" s="3">
        <v>44613</v>
      </c>
    </row>
    <row r="7" spans="2:5" x14ac:dyDescent="0.3">
      <c r="B7" s="2" t="s">
        <v>52</v>
      </c>
      <c r="C7" s="3">
        <v>10</v>
      </c>
      <c r="D7" s="3">
        <v>44620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zoomScale="145" zoomScaleNormal="145" workbookViewId="0">
      <selection activeCell="D6" sqref="D6"/>
    </sheetView>
  </sheetViews>
  <sheetFormatPr defaultRowHeight="18.75" x14ac:dyDescent="0.3"/>
  <cols>
    <col min="2" max="3" width="10.296875" bestFit="1" customWidth="1"/>
  </cols>
  <sheetData>
    <row r="2" spans="2:3" x14ac:dyDescent="0.3">
      <c r="B2" s="1">
        <v>44623</v>
      </c>
      <c r="C2" s="1">
        <f>DATE(2022,2,1)</f>
        <v>44593</v>
      </c>
    </row>
    <row r="3" spans="2:3" x14ac:dyDescent="0.3">
      <c r="B3" s="1">
        <v>44870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Sheet5</vt:lpstr>
      <vt:lpstr>Sheet4</vt:lpstr>
      <vt:lpstr>Edate</vt:lpstr>
      <vt:lpstr>Sheet3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Nehra</dc:creator>
  <cp:lastModifiedBy>hp</cp:lastModifiedBy>
  <dcterms:created xsi:type="dcterms:W3CDTF">2022-05-07T13:03:40Z</dcterms:created>
  <dcterms:modified xsi:type="dcterms:W3CDTF">2025-11-14T03:33:50Z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2022-05-07T13:03:42Z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37020825-4f80-4815-a98d-f91e51d36f0e</vt:lpwstr>
  </property>
  <property fmtid="{D5CDD505-2E9C-101B-9397-08002B2CF9AE}" pid="7" name="MSIP_Label_defa4170-0d19-0005-0004-bc88714345d2_ActionId">
    <vt:lpwstr>211708c3-a55d-4124-a521-b5fcebfa7e85</vt:lpwstr>
  </property>
  <property fmtid="{D5CDD505-2E9C-101B-9397-08002B2CF9AE}" pid="8" name="MSIP_Label_defa4170-0d19-0005-0004-bc88714345d2_ContentBits">
    <vt:lpwstr>0</vt:lpwstr>
  </property>
</Properties>
</file>