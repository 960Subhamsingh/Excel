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excel\Excel\Excel-Practice-Tests-and-Video-Solutions-master\Excel-Practice-Tests-and-Video-Solutions-master\Cube Functions - Special Questions\"/>
    </mc:Choice>
  </mc:AlternateContent>
  <bookViews>
    <workbookView xWindow="0" yWindow="0" windowWidth="24000" windowHeight="9600"/>
  </bookViews>
  <sheets>
    <sheet name="Monthly Pivot" sheetId="2" r:id="rId1"/>
    <sheet name="Monthly Sales" sheetId="1" r:id="rId2"/>
  </sheets>
  <definedNames>
    <definedName name="_xlcn.WorksheetConnection_MonthlySalesA1G61" hidden="1">'Monthly Sales'!$A$1:$G$6</definedName>
  </definedNames>
  <calcPr calcId="162913"/>
  <pivotCaches>
    <pivotCache cacheId="0" r:id="rId3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Range" name="Merchandise" connection="WorksheetConnection_Monthly Sales!$A$1:$G$6"/>
        </x15:modelTables>
      </x15:dataModel>
    </ext>
  </extLst>
</workbook>
</file>

<file path=xl/calcChain.xml><?xml version="1.0" encoding="utf-8"?>
<calcChain xmlns="http://schemas.openxmlformats.org/spreadsheetml/2006/main">
  <c r="G6" i="1" l="1"/>
  <c r="G5" i="1"/>
  <c r="G4" i="1"/>
  <c r="G3" i="1"/>
  <c r="G2" i="1"/>
  <c r="A4" i="2"/>
  <c r="A7" i="2"/>
  <c r="A9" i="2"/>
  <c r="A8" i="2"/>
  <c r="B3" i="2"/>
  <c r="B4" i="2" s="1"/>
  <c r="A5" i="2"/>
  <c r="C3" i="2"/>
  <c r="A10" i="2"/>
  <c r="B7" i="2"/>
  <c r="B8" i="2"/>
  <c r="A6" i="2"/>
  <c r="C9" i="2"/>
  <c r="B5" i="2"/>
  <c r="C5" i="2"/>
  <c r="C10" i="2"/>
  <c r="B10" i="2"/>
  <c r="B6" i="2"/>
  <c r="C8" i="2"/>
  <c r="B9" i="2"/>
  <c r="C7" i="2"/>
  <c r="F8" i="2"/>
  <c r="G6" i="2"/>
  <c r="G4" i="2"/>
  <c r="F9" i="2"/>
  <c r="C6" i="2"/>
</calcChain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Monthly Sales!$A$1:$G$6" type="102" refreshedVersion="6" minRefreshableVersion="5">
    <extLst>
      <ext xmlns:x15="http://schemas.microsoft.com/office/spreadsheetml/2010/11/main" uri="{DE250136-89BD-433C-8126-D09CA5730AF9}">
        <x15:connection id="Range">
          <x15:rangePr sourceName="_xlcn.WorksheetConnection_MonthlySalesA1G61"/>
        </x15:connection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12">
    <s v="ThisWorkbookDataModel"/>
    <s v="[Merchandise].[Year].&amp;[2018]"/>
    <s v="[Merchandise].[Item].&amp;[Scarves]"/>
    <s v="[Merchandise].[Item].&amp;[Aeroplanes]"/>
    <s v="[Merchandise].[Item].&amp;[Plates]"/>
    <s v="[Merchandise].[Item].&amp;[Pens]"/>
    <s v="[Measures].[Sum of Sold Last Month]"/>
    <s v="[Merchandise].[Year].[All]"/>
    <s v="[Merchandise].[Item].&amp;[Mugs]"/>
    <s v="[Measures].[Sum of Number in Stock]"/>
    <s v="[Merchandise].[Item].children"/>
    <s v="[Measures].[__No measures defined]"/>
  </metadataStrings>
  <mdxMetadata count="24">
    <mdx n="0" f="m">
      <t c="2">
        <n x="1"/>
        <n x="2"/>
      </t>
    </mdx>
    <mdx n="0" f="m">
      <t c="2">
        <n x="1"/>
        <n x="3"/>
      </t>
    </mdx>
    <mdx n="0" f="m">
      <t c="2">
        <n x="1"/>
        <n x="4"/>
      </t>
    </mdx>
    <mdx n="0" f="m">
      <t c="1">
        <n x="1"/>
      </t>
    </mdx>
    <mdx n="0" f="m">
      <t c="2">
        <n x="1"/>
        <n x="5"/>
      </t>
    </mdx>
    <mdx n="0" f="m">
      <t c="1">
        <n x="6"/>
      </t>
    </mdx>
    <mdx n="0" f="m">
      <t c="1">
        <n x="7"/>
      </t>
    </mdx>
    <mdx n="0" f="m">
      <t c="2">
        <n x="1"/>
        <n x="8"/>
      </t>
    </mdx>
    <mdx n="0" f="m">
      <t c="1">
        <n x="9"/>
      </t>
    </mdx>
    <mdx n="0" f="v">
      <t c="3">
        <n x="1"/>
        <n x="5"/>
        <n x="6"/>
      </t>
    </mdx>
    <mdx n="0" f="v">
      <t c="3">
        <n x="1"/>
        <n x="3"/>
        <n x="6"/>
      </t>
    </mdx>
    <mdx n="0" f="v">
      <t c="3">
        <n x="1"/>
        <n x="2"/>
        <n x="9"/>
      </t>
    </mdx>
    <mdx n="0" f="v">
      <t c="3">
        <n x="1"/>
        <n x="2"/>
        <n x="6"/>
      </t>
    </mdx>
    <mdx n="0" f="v">
      <t c="2">
        <n x="7"/>
        <n x="6"/>
      </t>
    </mdx>
    <mdx n="0" f="v">
      <t c="2">
        <n x="7"/>
        <n x="9"/>
      </t>
    </mdx>
    <mdx n="0" f="v">
      <t c="3">
        <n x="1"/>
        <n x="8"/>
        <n x="9"/>
      </t>
    </mdx>
    <mdx n="0" f="v">
      <t c="3">
        <n x="1"/>
        <n x="4"/>
        <n x="6"/>
      </t>
    </mdx>
    <mdx n="0" f="v">
      <t c="3">
        <n x="1"/>
        <n x="5"/>
        <n x="9"/>
      </t>
    </mdx>
    <mdx n="0" f="v">
      <t c="2">
        <n x="1"/>
        <n x="9"/>
      </t>
    </mdx>
    <mdx n="0" f="v">
      <t c="3">
        <n x="1"/>
        <n x="4"/>
        <n x="9"/>
      </t>
    </mdx>
    <mdx n="0" f="v">
      <t c="3">
        <n x="1"/>
        <n x="3"/>
        <n x="9"/>
      </t>
    </mdx>
    <mdx n="0" f="v">
      <t c="3">
        <n x="1"/>
        <n x="8"/>
        <n x="6"/>
      </t>
    </mdx>
    <mdx n="0" f="r">
      <t c="1">
        <n x="3"/>
      </t>
    </mdx>
    <mdx n="0" f="s">
      <ms ns="10" c="1" o="a">
        <n x="11"/>
      </ms>
    </mdx>
  </mdxMetadata>
  <valueMetadata count="24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</valueMetadata>
</metadata>
</file>

<file path=xl/sharedStrings.xml><?xml version="1.0" encoding="utf-8"?>
<sst xmlns="http://schemas.openxmlformats.org/spreadsheetml/2006/main" count="16" uniqueCount="16">
  <si>
    <t>Year</t>
  </si>
  <si>
    <t>Item</t>
  </si>
  <si>
    <t>Retail Price</t>
  </si>
  <si>
    <t>Number in Stock</t>
  </si>
  <si>
    <t>Sold Last Month</t>
  </si>
  <si>
    <t>Sold Previous Month</t>
  </si>
  <si>
    <t>% Monthly Change</t>
  </si>
  <si>
    <t>Mugs</t>
  </si>
  <si>
    <t>Scarves</t>
  </si>
  <si>
    <t>Aeroplanes</t>
  </si>
  <si>
    <t>Pens</t>
  </si>
  <si>
    <t>Plates</t>
  </si>
  <si>
    <t>Row Labels</t>
  </si>
  <si>
    <t>Highest Number Sold</t>
  </si>
  <si>
    <t>Lowest Number in Stock</t>
  </si>
  <si>
    <t>{=CUBEVALUE("ThisWorkbookDataModel",$A4,C$3)}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</si>
</sst>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&quot;€&quot;#,##0.00"/>
  </numFmts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theme="4" tint="0.39997558519241921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14" fontId="1" fillId="2" borderId="1" xfId="0" applyNumberFormat="1" applyFont="1" applyFill="1" applyBorder="1"/>
    <xf numFmtId="0" fontId="1" fillId="2" borderId="0" xfId="0" applyFont="1" applyFill="1" applyBorder="1"/>
    <xf numFmtId="0" fontId="1" fillId="2" borderId="0" xfId="0" applyFont="1" applyFill="1" applyBorder="1" applyAlignment="1">
      <alignment horizontal="center"/>
    </xf>
    <xf numFmtId="164" fontId="0" fillId="0" borderId="0" xfId="0" applyNumberFormat="1"/>
    <xf numFmtId="10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0" fillId="0" borderId="2" xfId="0" applyBorder="1"/>
    <xf numFmtId="0" fontId="2" fillId="0" borderId="3" xfId="0" applyFont="1" applyBorder="1"/>
    <xf numFmtId="0" fontId="2" fillId="0" borderId="3" xfId="0" applyFont="1" applyBorder="1" applyAlignment="1">
      <alignment horizontal="left"/>
    </xf>
    <xf numFmtId="0" fontId="0" fillId="0" borderId="3" xfId="0" applyBorder="1"/>
    <xf numFmtId="0" fontId="2" fillId="0" borderId="3" xfId="0" applyFont="1" applyBorder="1" applyAlignment="1">
      <alignment horizontal="left" inden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olapFunctions">
    <main first="ThisWorkbookDataModel">
      <tp t="e">
        <v>#N/A</v>
        <stp>1</stp>
        <tr r="G4" s="2"/>
        <tr r="G6" s="2"/>
        <tr r="F8" s="2"/>
        <tr r="F9" s="2"/>
        <tr r="C6" s="2"/>
        <tr r="A4" s="2"/>
        <tr r="A7" s="2"/>
        <tr r="A9" s="2"/>
        <tr r="A8" s="2"/>
        <tr r="B3" s="2"/>
        <tr r="A5" s="2"/>
        <tr r="C3" s="2"/>
        <tr r="A10" s="2"/>
        <tr r="A6" s="2"/>
        <tr r="B4" s="2"/>
        <tr r="B7" s="2"/>
        <tr r="B8" s="2"/>
        <tr r="C9" s="2"/>
        <tr r="B5" s="2"/>
        <tr r="C5" s="2"/>
        <tr r="C10" s="2"/>
        <tr r="B10" s="2"/>
        <tr r="B6" s="2"/>
        <tr r="C8" s="2"/>
        <tr r="B9" s="2"/>
        <tr r="C7" s="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openxmlformats.org/officeDocument/2006/relationships/customXml" Target="../customXml/item3.xml"/><Relationship Id="rId18" Type="http://schemas.openxmlformats.org/officeDocument/2006/relationships/customXml" Target="../customXml/item8.xml"/><Relationship Id="rId26" Type="http://schemas.openxmlformats.org/officeDocument/2006/relationships/customXml" Target="../customXml/item16.xml"/><Relationship Id="rId3" Type="http://schemas.openxmlformats.org/officeDocument/2006/relationships/pivotCacheDefinition" Target="pivotCache/pivotCacheDefinition1.xml"/><Relationship Id="rId21" Type="http://schemas.openxmlformats.org/officeDocument/2006/relationships/customXml" Target="../customXml/item11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2.xml"/><Relationship Id="rId17" Type="http://schemas.openxmlformats.org/officeDocument/2006/relationships/customXml" Target="../customXml/item7.xml"/><Relationship Id="rId25" Type="http://schemas.openxmlformats.org/officeDocument/2006/relationships/customXml" Target="../customXml/item15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6.xml"/><Relationship Id="rId20" Type="http://schemas.openxmlformats.org/officeDocument/2006/relationships/customXml" Target="../customXml/item1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1.xml"/><Relationship Id="rId24" Type="http://schemas.openxmlformats.org/officeDocument/2006/relationships/customXml" Target="../customXml/item14.xml"/><Relationship Id="rId5" Type="http://schemas.openxmlformats.org/officeDocument/2006/relationships/connections" Target="connections.xml"/><Relationship Id="rId15" Type="http://schemas.openxmlformats.org/officeDocument/2006/relationships/customXml" Target="../customXml/item5.xml"/><Relationship Id="rId23" Type="http://schemas.openxmlformats.org/officeDocument/2006/relationships/customXml" Target="../customXml/item13.xml"/><Relationship Id="rId28" Type="http://schemas.openxmlformats.org/officeDocument/2006/relationships/volatileDependencies" Target="volatileDependencies.xml"/><Relationship Id="rId10" Type="http://schemas.openxmlformats.org/officeDocument/2006/relationships/calcChain" Target="calcChain.xml"/><Relationship Id="rId19" Type="http://schemas.openxmlformats.org/officeDocument/2006/relationships/customXml" Target="../customXml/item9.xml"/><Relationship Id="rId4" Type="http://schemas.openxmlformats.org/officeDocument/2006/relationships/theme" Target="theme/theme1.xml"/><Relationship Id="rId9" Type="http://schemas.openxmlformats.org/officeDocument/2006/relationships/powerPivotData" Target="model/item.data"/><Relationship Id="rId14" Type="http://schemas.openxmlformats.org/officeDocument/2006/relationships/customXml" Target="../customXml/item4.xml"/><Relationship Id="rId22" Type="http://schemas.openxmlformats.org/officeDocument/2006/relationships/customXml" Target="../customXml/item12.xml"/><Relationship Id="rId27" Type="http://schemas.openxmlformats.org/officeDocument/2006/relationships/customXml" Target="../customXml/item17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123825</xdr:colOff>
      <xdr:row>0</xdr:row>
      <xdr:rowOff>47625</xdr:rowOff>
    </xdr:from>
    <xdr:to>
      <xdr:col>10</xdr:col>
      <xdr:colOff>282440</xdr:colOff>
      <xdr:row>2</xdr:row>
      <xdr:rowOff>184830</xdr:rowOff>
    </xdr:to>
    <xdr:pic macro="[0]!Q_1_and_2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86775" y="47625"/>
          <a:ext cx="1377815" cy="518205"/>
        </a:xfrm>
        <a:prstGeom prst="rect">
          <a:avLst/>
        </a:prstGeom>
      </xdr:spPr>
    </xdr:pic>
    <xdr:clientData/>
  </xdr:twoCellAnchor>
  <xdr:twoCellAnchor editAs="oneCell">
    <xdr:from>
      <xdr:col>0</xdr:col>
      <xdr:colOff>123825</xdr:colOff>
      <xdr:row>14</xdr:row>
      <xdr:rowOff>9525</xdr:rowOff>
    </xdr:from>
    <xdr:to>
      <xdr:col>7</xdr:col>
      <xdr:colOff>228600</xdr:colOff>
      <xdr:row>19</xdr:row>
      <xdr:rowOff>66675</xdr:rowOff>
    </xdr:to>
    <xdr:pic>
      <xdr:nvPicPr>
        <xdr:cNvPr id="9" name="Picture 8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duotone>
            <a:prstClr val="black"/>
            <a:schemeClr val="accent2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t="38372"/>
        <a:stretch/>
      </xdr:blipFill>
      <xdr:spPr bwMode="auto">
        <a:xfrm>
          <a:off x="123825" y="2714625"/>
          <a:ext cx="10020300" cy="100965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1133475</xdr:colOff>
      <xdr:row>17</xdr:row>
      <xdr:rowOff>114460</xdr:rowOff>
    </xdr:from>
    <xdr:to>
      <xdr:col>12</xdr:col>
      <xdr:colOff>523875</xdr:colOff>
      <xdr:row>26</xdr:row>
      <xdr:rowOff>19050</xdr:rowOff>
    </xdr:to>
    <xdr:pic>
      <xdr:nvPicPr>
        <xdr:cNvPr id="2" name="Picture 1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52800" y="3352960"/>
          <a:ext cx="7410450" cy="16190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invalid="1" saveData="0" refreshedBy="DMurphy" refreshedDate="43406.469971527775" backgroundQuery="1" createdVersion="3" refreshedVersion="6" minRefreshableVersion="3" recordCount="0" tupleCache="1" supportSubquery="1" supportAdvancedDrill="1">
  <cacheSource type="external" connectionId="1"/>
  <cacheFields count="3">
    <cacheField name="[Measures].[MeasuresLevel]" caption="MeasuresLevel" numFmtId="0">
      <sharedItems count="3">
        <s v="[Measures].[Sum of Sold Last Month]" c="Sum of Sold Last Month"/>
        <s v="[Measures].[Sum of Number in Stock]" c="Sum of Number in Stock"/>
        <s v="[Measures].[__No measures defined]" c="__No measures defined"/>
      </sharedItems>
    </cacheField>
    <cacheField name="[Merchandise].[Year].[Year]" caption="Year" numFmtId="0" hierarchy="1" level="1">
      <sharedItems count="1">
        <s v="[Merchandise].[Year].&amp;[2018]" c="2018"/>
      </sharedItems>
    </cacheField>
    <cacheField name="[Merchandise].[Item].[Item]" caption="Item" numFmtId="0" hierarchy="2" level="1">
      <sharedItems count="5">
        <s v="[Merchandise].[Item].&amp;[Pens]" c="Pens"/>
        <s v="[Merchandise].[Item].&amp;[Scarves]" c="Scarves"/>
        <s v="[Merchandise].[Item].&amp;[Plates]" c="Plates"/>
        <s v="[Merchandise].[Item].&amp;[Aeroplanes]" c="Aeroplanes"/>
        <s v="[Merchandise].[Item].&amp;[Mugs]" c="Mugs"/>
      </sharedItems>
    </cacheField>
  </cacheFields>
  <cacheHierarchies count="12">
    <cacheHierarchy uniqueName="[Measures]" caption="Measures" attribute="1" keyAttribute="1" defaultMemberUniqueName="[Measures].[__No measures defined]" dimensionUniqueName="[Measures]" displayFolder="" measures="1" count="1" memberValueDatatype="130" unbalanced="0">
      <fieldsUsage count="1">
        <fieldUsage x="0"/>
      </fieldsUsage>
    </cacheHierarchy>
    <cacheHierarchy uniqueName="[Merchandise].[Year]" caption="Year" attribute="1" defaultMemberUniqueName="[Merchandise].[Year].[All]" allUniqueName="[Merchandise].[Year].[All]" allCaption="All" dimensionUniqueName="[Merchandise]" displayFolder="" count="2" memberValueDatatype="20" unbalanced="0">
      <fieldsUsage count="2">
        <fieldUsage x="-1"/>
        <fieldUsage x="1"/>
      </fieldsUsage>
    </cacheHierarchy>
    <cacheHierarchy uniqueName="[Merchandise].[Item]" caption="Item" attribute="1" defaultMemberUniqueName="[Merchandise].[Item].[All]" allUniqueName="[Merchandise].[Item].[All]" dimensionUniqueName="[Merchandise]" displayFolder="" count="2" memberValueDatatype="130" unbalanced="0">
      <fieldsUsage count="2">
        <fieldUsage x="-1"/>
        <fieldUsage x="2"/>
      </fieldsUsage>
    </cacheHierarchy>
    <cacheHierarchy uniqueName="[Merchandise].[Retail Price]" caption="Retail Price" attribute="1" defaultMemberUniqueName="[Merchandise].[Retail Price].[All]" allUniqueName="[Merchandise].[Retail Price].[All]" dimensionUniqueName="[Merchandise]" displayFolder="" count="2" memberValueDatatype="5" unbalanced="0"/>
    <cacheHierarchy uniqueName="[Merchandise].[Number in Stock]" caption="Number in Stock" attribute="1" defaultMemberUniqueName="[Merchandise].[Number in Stock].[All]" allUniqueName="[Merchandise].[Number in Stock].[All]" dimensionUniqueName="[Merchandise]" displayFolder="" count="2" memberValueDatatype="20" unbalanced="0"/>
    <cacheHierarchy uniqueName="[Merchandise].[Sold Last Month]" caption="Sold Last Month" attribute="1" defaultMemberUniqueName="[Merchandise].[Sold Last Month].[All]" allUniqueName="[Merchandise].[Sold Last Month].[All]" dimensionUniqueName="[Merchandise]" displayFolder="" count="2" memberValueDatatype="20" unbalanced="0"/>
    <cacheHierarchy uniqueName="[Merchandise].[Sold Previous Month]" caption="Sold Previous Month" attribute="1" defaultMemberUniqueName="[Merchandise].[Sold Previous Month].[All]" allUniqueName="[Merchandise].[Sold Previous Month].[All]" dimensionUniqueName="[Merchandise]" displayFolder="" count="2" memberValueDatatype="20" unbalanced="0"/>
    <cacheHierarchy uniqueName="[Merchandise].[% Monthly Change]" caption="% Monthly Change" attribute="1" defaultMemberUniqueName="[Merchandise].[% Monthly Change].[All]" allUniqueName="[Merchandise].[% Monthly Change].[All]" dimensionUniqueName="[Merchandise]" displayFolder="" count="2" memberValueDatatype="5" unbalanced="0"/>
    <cacheHierarchy uniqueName="[Measures].[__XL_Count Range]" caption="__XL_Count Range" measure="1" displayFolder="" measureGroup="Merchandise" count="0" hidden="1"/>
    <cacheHierarchy uniqueName="[Measures].[__No measures defined]" caption="__No measures defined" measure="1" displayFolder="" count="0" hidden="1"/>
    <cacheHierarchy uniqueName="[Measures].[Sum of Number in Stock]" caption="Sum of Number in Stock" measure="1" displayFolder="" measureGroup="Merchandise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Sold Last Month]" caption="Sum of Sold Last Month" measure="1" displayFolder="" measureGroup="Merchandise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</cacheHierarchies>
  <kpis count="0"/>
  <tupleCache>
    <entries count="14">
      <n v="7654">
        <tpls c="2">
          <tpl fld="0" item="1"/>
          <tpl fld="1" item="0"/>
        </tpls>
      </n>
      <n v="1322">
        <tpls c="3">
          <tpl fld="0" item="1"/>
          <tpl fld="1" item="0"/>
          <tpl fld="2" item="0"/>
        </tpls>
      </n>
      <n v="1255">
        <tpls c="3">
          <tpl fld="0" item="1"/>
          <tpl fld="1" item="0"/>
          <tpl fld="2" item="2"/>
        </tpls>
      </n>
      <n v="529">
        <tpls c="3">
          <tpl fld="0" item="0"/>
          <tpl fld="1" item="0"/>
          <tpl fld="2" item="1"/>
        </tpls>
      </n>
      <n v="543">
        <tpls c="3">
          <tpl fld="0" item="1"/>
          <tpl fld="1" item="0"/>
          <tpl fld="2" item="3"/>
        </tpls>
      </n>
      <n v="215">
        <tpls c="3">
          <tpl fld="0" item="0"/>
          <tpl fld="1" item="0"/>
          <tpl fld="2" item="3"/>
        </tpls>
      </n>
      <n v="1964">
        <tpls c="2">
          <tpl fld="0" item="0"/>
          <tpl hier="1" item="4294967295"/>
        </tpls>
      </n>
      <n v="7654">
        <tpls c="2">
          <tpl fld="0" item="1"/>
          <tpl hier="1" item="4294967295"/>
        </tpls>
      </n>
      <n v="3246">
        <tpls c="3">
          <tpl fld="0" item="1"/>
          <tpl fld="1" item="0"/>
          <tpl fld="2" item="4"/>
        </tpls>
      </n>
      <n v="542">
        <tpls c="3">
          <tpl fld="0" item="0"/>
          <tpl fld="1" item="0"/>
          <tpl fld="2" item="2"/>
        </tpls>
      </n>
      <n v="1288">
        <tpls c="3">
          <tpl fld="0" item="1"/>
          <tpl fld="1" item="0"/>
          <tpl fld="2" item="1"/>
        </tpls>
      </n>
      <n v="378">
        <tpls c="3">
          <tpl fld="0" item="0"/>
          <tpl fld="1" item="0"/>
          <tpl fld="2" item="0"/>
        </tpls>
      </n>
      <n v="1964">
        <tpls c="2">
          <tpl fld="0" item="0"/>
          <tpl fld="1" item="0"/>
        </tpls>
      </n>
      <n v="300">
        <tpls c="3">
          <tpl fld="0" item="0"/>
          <tpl fld="1" item="0"/>
          <tpl fld="2" item="4"/>
        </tpls>
      </n>
    </entries>
    <sets count="6">
      <set count="5" maxRank="1" setDefinition="[Merchandise].[Item].children">
        <tpls c="1">
          <tpl fld="2" item="3"/>
        </tpls>
      </set>
      <set count="5" maxRank="1" setDefinition="[Merchandise].[Item].children" sortType="descending">
        <tpls c="1">
          <tpl fld="2" item="2"/>
        </tpls>
        <sortByTuple c="1">
          <tpl fld="0" item="0"/>
        </sortByTuple>
      </set>
      <set maxRank="1" setDefinition="" queryFailed="1"/>
      <set count="5" maxRank="1" setDefinition="[Merchandise].[Item].children" sortType="ascending">
        <tpls c="1">
          <tpl fld="2" item="3"/>
        </tpls>
        <sortByTuple c="1">
          <tpl fld="0" item="1"/>
        </sortByTuple>
      </set>
      <set count="5" maxRank="1" setDefinition="[Merchandise].[Item].children" sortType="descending">
        <tpls c="1">
          <tpl fld="2" item="3"/>
        </tpls>
        <sortByTuple c="1">
          <tpl hier="0" item="4294967295"/>
        </sortByTuple>
      </set>
      <set count="5" maxRank="1" setDefinition="[Merchandise].[Item].children" sortType="ascending">
        <tpls c="1">
          <tpl fld="2" item="3"/>
        </tpls>
        <sortByTuple c="1">
          <tpl hier="0" item="4294967295"/>
        </sortByTuple>
      </set>
    </sets>
    <queryCache count="10">
      <query mdx="[Measures].[Sum of Sold Last Month]">
        <tpls c="1">
          <tpl fld="0" item="0"/>
        </tpls>
      </query>
      <query mdx="[Merchandise].[Year].&amp;[2018]">
        <tpls c="1">
          <tpl fld="1" item="0"/>
        </tpls>
      </query>
      <query mdx="[Merchandise].[Item].&amp;[Pens]">
        <tpls c="1">
          <tpl fld="2" item="0"/>
        </tpls>
      </query>
      <query mdx="[Merchandise].[Item].&amp;[Scarves]">
        <tpls c="1">
          <tpl fld="2" item="1"/>
        </tpls>
      </query>
      <query mdx="[Merchandise].[Item].&amp;[Plates]">
        <tpls c="1">
          <tpl fld="2" item="2"/>
        </tpls>
      </query>
      <query mdx="[Measures].[Sum of Number in Stock]">
        <tpls c="1">
          <tpl fld="0" item="1"/>
        </tpls>
      </query>
      <query mdx="[Merchandise].[Item].&amp;[Aeroplanes]">
        <tpls c="1">
          <tpl fld="2" item="3"/>
        </tpls>
      </query>
      <query mdx="[Merchandise].[Year].[All]">
        <tpls c="1">
          <tpl hier="1" item="4294967295"/>
        </tpls>
      </query>
      <query mdx="[Merchandise].[Item].&amp;[Mugs]">
        <tpls c="1">
          <tpl fld="2" item="4"/>
        </tpls>
      </query>
      <query mdx="[Measures]">
        <tpls c="1">
          <tpl hier="0" item="4294967295"/>
        </tpls>
      </query>
    </queryCache>
  </tupleCache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G10"/>
  <sheetViews>
    <sheetView tabSelected="1" topLeftCell="C1" workbookViewId="0">
      <selection activeCell="I10" activeCellId="1" sqref="F9 I10"/>
    </sheetView>
  </sheetViews>
  <sheetFormatPr defaultRowHeight="15" x14ac:dyDescent="0.25"/>
  <cols>
    <col min="1" max="1" width="14.85546875" bestFit="1" customWidth="1"/>
    <col min="2" max="2" width="22.5703125" bestFit="1" customWidth="1"/>
    <col min="3" max="3" width="48.140625" bestFit="1" customWidth="1"/>
    <col min="6" max="6" width="29.28515625" bestFit="1" customWidth="1"/>
    <col min="7" max="7" width="15.5703125" bestFit="1" customWidth="1"/>
  </cols>
  <sheetData>
    <row r="3" spans="1:7" ht="15.75" thickBot="1" x14ac:dyDescent="0.3">
      <c r="A3" s="9" t="s">
        <v>12</v>
      </c>
      <c r="B3" s="9" t="str" vm="9">
        <f>CUBEMEMBER("ThisWorkbookDataModel","[Measures].[Sum of Number in Stock]")</f>
        <v>Sum of Number in Stock</v>
      </c>
      <c r="C3" s="9" t="str" vm="6">
        <f>CUBEMEMBER("ThisWorkbookDataModel","[Measures].[Sum of Sold Last Month]")</f>
        <v>Sum of Sold Last Month</v>
      </c>
    </row>
    <row r="4" spans="1:7" ht="15.75" thickBot="1" x14ac:dyDescent="0.3">
      <c r="A4" s="10" t="str" vm="4">
        <f>CUBEMEMBER("ThisWorkbookDataModel","[Merchandise].[Year].&amp;[2018]")</f>
        <v>2018</v>
      </c>
      <c r="B4" s="11" vm="19">
        <f t="shared" ref="B4:C10" si="0">CUBEVALUE("ThisWorkbookDataModel",$A4,B$3)</f>
        <v>7654</v>
      </c>
      <c r="C4" s="11" t="s">
        <v>15</v>
      </c>
      <c r="F4" s="7" t="s">
        <v>13</v>
      </c>
      <c r="G4" s="8" t="str" vm="23">
        <f>CUBERANKEDMEMBER("ThisWorkbookDataModel",F8,1)</f>
        <v>Aeroplanes</v>
      </c>
    </row>
    <row r="5" spans="1:7" ht="15.75" thickBot="1" x14ac:dyDescent="0.3">
      <c r="A5" s="12" t="str" vm="2">
        <f>CUBEMEMBER("ThisWorkbookDataModel",{"[Merchandise].[Year].&amp;[2018]","[Merchandise].[Item].&amp;[Aeroplanes]"})</f>
        <v>Aeroplanes</v>
      </c>
      <c r="B5" s="11" vm="21">
        <f t="shared" si="0"/>
        <v>543</v>
      </c>
      <c r="C5" s="11" vm="11">
        <f t="shared" si="0"/>
        <v>215</v>
      </c>
    </row>
    <row r="6" spans="1:7" ht="15.75" thickBot="1" x14ac:dyDescent="0.3">
      <c r="A6" s="12" t="str" vm="8">
        <f>CUBEMEMBER("ThisWorkbookDataModel",{"[Merchandise].[Year].&amp;[2018]","[Merchandise].[Item].&amp;[Mugs]"})</f>
        <v>Mugs</v>
      </c>
      <c r="B6" s="11" vm="16">
        <f t="shared" si="0"/>
        <v>3246</v>
      </c>
      <c r="C6" s="11" vm="22">
        <f t="shared" si="0"/>
        <v>300</v>
      </c>
      <c r="F6" s="7" t="s">
        <v>14</v>
      </c>
      <c r="G6" s="8" t="str" vm="23">
        <f>CUBERANKEDMEMBER("ThisWorkbookDataModel",F8,1)</f>
        <v>Aeroplanes</v>
      </c>
    </row>
    <row r="7" spans="1:7" x14ac:dyDescent="0.25">
      <c r="A7" s="12" t="str" vm="5">
        <f>CUBEMEMBER("ThisWorkbookDataModel",{"[Merchandise].[Year].&amp;[2018]","[Merchandise].[Item].&amp;[Pens]"})</f>
        <v>Pens</v>
      </c>
      <c r="B7" s="11" vm="18">
        <f t="shared" si="0"/>
        <v>1322</v>
      </c>
      <c r="C7" s="11" vm="10">
        <f t="shared" si="0"/>
        <v>378</v>
      </c>
    </row>
    <row r="8" spans="1:7" x14ac:dyDescent="0.25">
      <c r="A8" s="12" t="str" vm="3">
        <f>CUBEMEMBER("ThisWorkbookDataModel",{"[Merchandise].[Year].&amp;[2018]","[Merchandise].[Item].&amp;[Plates]"})</f>
        <v>Plates</v>
      </c>
      <c r="B8" s="11" vm="20">
        <f t="shared" si="0"/>
        <v>1255</v>
      </c>
      <c r="C8" s="11" vm="17">
        <f t="shared" si="0"/>
        <v>542</v>
      </c>
      <c r="F8" t="str" vm="24">
        <f>CUBESET("ThisWorkbookDataModel","[Merchandise].[Item].children","All Possible items",1,"[Measures]")</f>
        <v>All Possible items</v>
      </c>
    </row>
    <row r="9" spans="1:7" x14ac:dyDescent="0.25">
      <c r="A9" s="12" t="str" vm="1">
        <f>CUBEMEMBER("ThisWorkbookDataModel",{"[Merchandise].[Year].&amp;[2018]","[Merchandise].[Item].&amp;[Scarves]"})</f>
        <v>Scarves</v>
      </c>
      <c r="B9" s="11" vm="12">
        <f t="shared" si="0"/>
        <v>1288</v>
      </c>
      <c r="C9" s="11" vm="13">
        <f t="shared" si="0"/>
        <v>529</v>
      </c>
      <c r="F9" vm="19">
        <f>CUBEVALUE("ThisWorkbookDataModel",$A4,$B3)</f>
        <v>7654</v>
      </c>
    </row>
    <row r="10" spans="1:7" x14ac:dyDescent="0.25">
      <c r="A10" s="10" t="str" vm="7">
        <f>CUBEMEMBER("ThisWorkbookDataModel","[Merchandise].[Year].[All]","Grand Total")</f>
        <v>Grand Total</v>
      </c>
      <c r="B10" s="11" vm="15">
        <f t="shared" si="0"/>
        <v>7654</v>
      </c>
      <c r="C10" s="11" vm="14">
        <f t="shared" si="0"/>
        <v>1964</v>
      </c>
    </row>
  </sheetData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6"/>
  <sheetViews>
    <sheetView workbookViewId="0">
      <pane ySplit="1" topLeftCell="A2" activePane="bottomLeft" state="frozen"/>
      <selection pane="bottomLeft" activeCell="G5" sqref="G5"/>
    </sheetView>
  </sheetViews>
  <sheetFormatPr defaultRowHeight="15" x14ac:dyDescent="0.25"/>
  <cols>
    <col min="2" max="2" width="10.7109375" bestFit="1" customWidth="1"/>
    <col min="3" max="3" width="13.42578125" customWidth="1"/>
    <col min="4" max="4" width="19.5703125" customWidth="1"/>
    <col min="5" max="5" width="15.7109375" style="6" customWidth="1"/>
    <col min="6" max="6" width="19.7109375" bestFit="1" customWidth="1"/>
    <col min="7" max="7" width="19.5703125" bestFit="1" customWidth="1"/>
  </cols>
  <sheetData>
    <row r="1" spans="1:7" x14ac:dyDescent="0.25">
      <c r="A1" s="1" t="s">
        <v>0</v>
      </c>
      <c r="B1" s="1" t="s">
        <v>1</v>
      </c>
      <c r="C1" s="2" t="s">
        <v>2</v>
      </c>
      <c r="D1" s="2" t="s">
        <v>3</v>
      </c>
      <c r="E1" s="3" t="s">
        <v>4</v>
      </c>
      <c r="F1" s="2" t="s">
        <v>5</v>
      </c>
      <c r="G1" s="2" t="s">
        <v>6</v>
      </c>
    </row>
    <row r="2" spans="1:7" x14ac:dyDescent="0.25">
      <c r="A2">
        <v>2018</v>
      </c>
      <c r="B2" t="s">
        <v>7</v>
      </c>
      <c r="C2" s="4">
        <v>3.65</v>
      </c>
      <c r="D2">
        <v>3246</v>
      </c>
      <c r="E2">
        <v>300</v>
      </c>
      <c r="F2">
        <v>410</v>
      </c>
      <c r="G2" s="5">
        <f>((E2-F2)/F2)</f>
        <v>-0.26829268292682928</v>
      </c>
    </row>
    <row r="3" spans="1:7" x14ac:dyDescent="0.25">
      <c r="A3">
        <v>2018</v>
      </c>
      <c r="B3" t="s">
        <v>8</v>
      </c>
      <c r="C3" s="4">
        <v>1.25</v>
      </c>
      <c r="D3">
        <v>1288</v>
      </c>
      <c r="E3">
        <v>529</v>
      </c>
      <c r="F3">
        <v>478</v>
      </c>
      <c r="G3" s="5">
        <f>((E3-F3)/F3)</f>
        <v>0.10669456066945607</v>
      </c>
    </row>
    <row r="4" spans="1:7" x14ac:dyDescent="0.25">
      <c r="A4">
        <v>2018</v>
      </c>
      <c r="B4" t="s">
        <v>9</v>
      </c>
      <c r="C4" s="4">
        <v>6.78</v>
      </c>
      <c r="D4">
        <v>543</v>
      </c>
      <c r="E4">
        <v>215</v>
      </c>
      <c r="F4">
        <v>145</v>
      </c>
      <c r="G4" s="5">
        <f>((E4-F4)/F4)</f>
        <v>0.48275862068965519</v>
      </c>
    </row>
    <row r="5" spans="1:7" x14ac:dyDescent="0.25">
      <c r="A5">
        <v>2018</v>
      </c>
      <c r="B5" t="s">
        <v>10</v>
      </c>
      <c r="C5" s="4">
        <v>0.98</v>
      </c>
      <c r="D5">
        <v>1322</v>
      </c>
      <c r="E5">
        <v>378</v>
      </c>
      <c r="F5">
        <v>266</v>
      </c>
      <c r="G5" s="5">
        <f>((E5-F5)/F5)</f>
        <v>0.42105263157894735</v>
      </c>
    </row>
    <row r="6" spans="1:7" x14ac:dyDescent="0.25">
      <c r="A6">
        <v>2018</v>
      </c>
      <c r="B6" t="s">
        <v>11</v>
      </c>
      <c r="C6" s="4">
        <v>1.34</v>
      </c>
      <c r="D6">
        <v>1255</v>
      </c>
      <c r="E6">
        <v>542</v>
      </c>
      <c r="F6">
        <v>410</v>
      </c>
      <c r="G6" s="5">
        <f>((E6-F6)/F6)</f>
        <v>0.32195121951219513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6FD5857B-1B60-445E-8386-02F83AF71F00}">
  <ds:schemaRefs/>
</ds:datastoreItem>
</file>

<file path=customXml/itemProps2.xml><?xml version="1.0" encoding="utf-8"?>
<ds:datastoreItem xmlns:ds="http://schemas.openxmlformats.org/officeDocument/2006/customXml" ds:itemID="{B44AE7DB-DAE9-4A10-A9F0-7713D96ED857}">
  <ds:schemaRefs/>
</ds:datastoreItem>
</file>

<file path=customXml/itemProps3.xml><?xml version="1.0" encoding="utf-8"?>
<ds:datastoreItem xmlns:ds="http://schemas.openxmlformats.org/officeDocument/2006/customXml" ds:itemID="{9E772652-57AE-47C6-BBBA-CA22CFE4DF1D}">
  <ds:schemaRefs/>
</ds:datastoreItem>
</file>

<file path=customXml/itemProps4.xml><?xml version="1.0" encoding="utf-8"?>
<ds:datastoreItem xmlns:ds="http://schemas.openxmlformats.org/officeDocument/2006/customXml" ds:itemID="{4094EFEC-0B89-4730-90B9-AB526B4EAF6B}">
  <ds:schemaRefs/>
</ds:datastoreItem>
</file>

<file path=customXml/itemProps5.xml><?xml version="1.0" encoding="utf-8"?>
<ds:datastoreItem xmlns:ds="http://schemas.openxmlformats.org/officeDocument/2006/customXml" ds:itemID="{A3D73FAE-0E14-4A56-A2EA-E31C4DE97A53}">
  <ds:schemaRefs/>
</ds:datastoreItem>
</file>

<file path=customXml/itemProps6.xml><?xml version="1.0" encoding="utf-8"?>
<ds:datastoreItem xmlns:ds="http://schemas.openxmlformats.org/officeDocument/2006/customXml" ds:itemID="{3A5277A5-B76A-4EA2-939C-A024946693AB}">
  <ds:schemaRefs/>
</ds:datastoreItem>
</file>

<file path=customXml/itemProps7.xml><?xml version="1.0" encoding="utf-8"?>
<ds:datastoreItem xmlns:ds="http://schemas.openxmlformats.org/officeDocument/2006/customXml" ds:itemID="{ADFBB50D-A8D8-4D2F-959C-3AD47F553CBC}">
  <ds:schemaRefs/>
</ds:datastoreItem>
</file>

<file path=customXml/itemProps8.xml><?xml version="1.0" encoding="utf-8"?>
<ds:datastoreItem xmlns:ds="http://schemas.openxmlformats.org/officeDocument/2006/customXml" ds:itemID="{F7199657-E789-48EB-BE49-31752375C181}">
  <ds:schemaRefs/>
</ds:datastoreItem>
</file>

<file path=customXml/itemProps9.xml><?xml version="1.0" encoding="utf-8"?>
<ds:datastoreItem xmlns:ds="http://schemas.openxmlformats.org/officeDocument/2006/customXml" ds:itemID="{8E5CB8D4-E53F-4536-907A-42B0CBB54195}">
  <ds:schemaRefs/>
</ds:datastoreItem>
</file>

<file path=customXml/itemProps10.xml><?xml version="1.0" encoding="utf-8"?>
<ds:datastoreItem xmlns:ds="http://schemas.openxmlformats.org/officeDocument/2006/customXml" ds:itemID="{306471E1-38D8-4F40-9EB1-F2BB0D71DDFE}">
  <ds:schemaRefs/>
</ds:datastoreItem>
</file>

<file path=customXml/itemProps11.xml><?xml version="1.0" encoding="utf-8"?>
<ds:datastoreItem xmlns:ds="http://schemas.openxmlformats.org/officeDocument/2006/customXml" ds:itemID="{2A2BFB83-902F-4661-AE85-EDCBD1A4728F}">
  <ds:schemaRefs/>
</ds:datastoreItem>
</file>

<file path=customXml/itemProps12.xml><?xml version="1.0" encoding="utf-8"?>
<ds:datastoreItem xmlns:ds="http://schemas.openxmlformats.org/officeDocument/2006/customXml" ds:itemID="{92EF0421-DAF5-4881-A938-490C1E2F2EBC}">
  <ds:schemaRefs/>
</ds:datastoreItem>
</file>

<file path=customXml/itemProps13.xml><?xml version="1.0" encoding="utf-8"?>
<ds:datastoreItem xmlns:ds="http://schemas.openxmlformats.org/officeDocument/2006/customXml" ds:itemID="{FF7259EC-FE37-4ED1-A19B-48E8816369B2}">
  <ds:schemaRefs/>
</ds:datastoreItem>
</file>

<file path=customXml/itemProps14.xml><?xml version="1.0" encoding="utf-8"?>
<ds:datastoreItem xmlns:ds="http://schemas.openxmlformats.org/officeDocument/2006/customXml" ds:itemID="{1BAB99DC-1AFB-4888-BD4C-FE3DCE919C2A}">
  <ds:schemaRefs/>
</ds:datastoreItem>
</file>

<file path=customXml/itemProps15.xml><?xml version="1.0" encoding="utf-8"?>
<ds:datastoreItem xmlns:ds="http://schemas.openxmlformats.org/officeDocument/2006/customXml" ds:itemID="{C427F22D-1BB4-4BF8-B3AD-75FB57C3CC53}">
  <ds:schemaRefs/>
</ds:datastoreItem>
</file>

<file path=customXml/itemProps16.xml><?xml version="1.0" encoding="utf-8"?>
<ds:datastoreItem xmlns:ds="http://schemas.openxmlformats.org/officeDocument/2006/customXml" ds:itemID="{A0892495-F924-49AF-8441-1B090CF63F37}">
  <ds:schemaRefs/>
</ds:datastoreItem>
</file>

<file path=customXml/itemProps17.xml><?xml version="1.0" encoding="utf-8"?>
<ds:datastoreItem xmlns:ds="http://schemas.openxmlformats.org/officeDocument/2006/customXml" ds:itemID="{68EDA844-9077-444C-A7C0-65D7C86FE4B5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Monthly Pivot</vt:lpstr>
      <vt:lpstr>Monthly Sales</vt:lpstr>
    </vt:vector>
  </TitlesOfParts>
  <Company>Bowtielearning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Cube Questions</dc:title>
  <dc:creator>Murphy, David</dc:creator>
  <cp:lastModifiedBy>hp</cp:lastModifiedBy>
  <dcterms:created xsi:type="dcterms:W3CDTF">2018-11-01T12:52:16Z</dcterms:created>
  <dcterms:modified xsi:type="dcterms:W3CDTF">2024-12-22T08:53:00Z</dcterms:modified>
</cp:coreProperties>
</file>