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Project\Excel\"/>
    </mc:Choice>
  </mc:AlternateContent>
  <bookViews>
    <workbookView xWindow="0" yWindow="0" windowWidth="15345" windowHeight="4635" firstSheet="2" activeTab="4"/>
  </bookViews>
  <sheets>
    <sheet name="Excel IF wildcard - examples" sheetId="23" r:id="rId1"/>
    <sheet name="IF wildcard statement" sheetId="22" r:id="rId2"/>
    <sheet name="IF partial match" sheetId="21" r:id="rId3"/>
    <sheet name="IF OR with wildcard" sheetId="16" r:id="rId4"/>
    <sheet name="IF AND with wildcard" sheetId="19" r:id="rId5"/>
  </sheets>
  <definedNames>
    <definedName name="_xlnm._FilterDatabase" localSheetId="4" hidden="1">'IF AND with wildcard'!$A$1:$B$11</definedName>
    <definedName name="_xlnm._FilterDatabase" localSheetId="3" hidden="1">'IF OR with wildcard'!$A$1:$B$12</definedName>
    <definedName name="_xlnm._FilterDatabase" localSheetId="2" hidden="1">'IF partial match'!$A$1:$B$12</definedName>
    <definedName name="_xlnm._FilterDatabase" localSheetId="1" hidden="1">'IF wildcard statement'!$A$1:$B$12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4" i="19" l="1"/>
  <c r="J5" i="19"/>
  <c r="J6" i="19"/>
  <c r="J7" i="19"/>
  <c r="J8" i="19"/>
  <c r="J9" i="19"/>
  <c r="J10" i="19"/>
  <c r="J3" i="19"/>
  <c r="H5" i="19"/>
  <c r="H6" i="19"/>
  <c r="H7" i="19"/>
  <c r="H8" i="19"/>
  <c r="H9" i="19"/>
  <c r="H10" i="19"/>
  <c r="H4" i="19"/>
  <c r="G5" i="19"/>
  <c r="G6" i="19"/>
  <c r="G7" i="19"/>
  <c r="G8" i="19"/>
  <c r="G9" i="19"/>
  <c r="G10" i="19"/>
  <c r="G4" i="19"/>
  <c r="F5" i="19"/>
  <c r="F6" i="19"/>
  <c r="F7" i="19"/>
  <c r="F8" i="19"/>
  <c r="F9" i="19"/>
  <c r="F10" i="19"/>
  <c r="F4" i="19"/>
  <c r="J5" i="16"/>
  <c r="J6" i="16"/>
  <c r="J7" i="16"/>
  <c r="J8" i="16"/>
  <c r="J9" i="16"/>
  <c r="J10" i="16"/>
  <c r="J11" i="16"/>
  <c r="J4" i="16"/>
  <c r="I5" i="16"/>
  <c r="I6" i="16"/>
  <c r="I7" i="16"/>
  <c r="I8" i="16"/>
  <c r="I9" i="16"/>
  <c r="I10" i="16"/>
  <c r="I11" i="16"/>
  <c r="I4" i="16"/>
  <c r="H5" i="16"/>
  <c r="H6" i="16"/>
  <c r="H7" i="16"/>
  <c r="H8" i="16"/>
  <c r="H9" i="16"/>
  <c r="H10" i="16"/>
  <c r="H11" i="16"/>
  <c r="H4" i="16"/>
  <c r="G5" i="16"/>
  <c r="G6" i="16"/>
  <c r="G7" i="16"/>
  <c r="G8" i="16"/>
  <c r="G9" i="16"/>
  <c r="G10" i="16"/>
  <c r="G4" i="16"/>
  <c r="F5" i="16"/>
  <c r="F6" i="16"/>
  <c r="F7" i="16"/>
  <c r="F8" i="16"/>
  <c r="F9" i="16"/>
  <c r="F10" i="16"/>
  <c r="F4" i="16"/>
  <c r="F2" i="22"/>
  <c r="E2" i="22"/>
  <c r="D3" i="19" l="1" a="1"/>
  <c r="D3" i="19"/>
  <c r="D4" i="19" a="1"/>
  <c r="D4" i="19" s="1"/>
  <c r="D5" i="19" a="1"/>
  <c r="D5" i="19" s="1"/>
  <c r="D6" i="19" a="1"/>
  <c r="D6" i="19" s="1"/>
  <c r="D7" i="19" a="1"/>
  <c r="D7" i="19" s="1"/>
  <c r="D8" i="19" a="1"/>
  <c r="D8" i="19" s="1"/>
  <c r="D9" i="19" a="1"/>
  <c r="D9" i="19" s="1"/>
  <c r="D10" i="19" a="1"/>
  <c r="D10" i="19" s="1"/>
  <c r="D2" i="19" a="1"/>
  <c r="D2" i="19" s="1"/>
  <c r="B3" i="19"/>
  <c r="B4" i="19"/>
  <c r="B5" i="19"/>
  <c r="B6" i="19"/>
  <c r="B7" i="19"/>
  <c r="B8" i="19"/>
  <c r="B9" i="19"/>
  <c r="B10" i="19"/>
  <c r="B2" i="19"/>
  <c r="C3" i="19"/>
  <c r="C4" i="19"/>
  <c r="C5" i="19"/>
  <c r="C6" i="19"/>
  <c r="C7" i="19"/>
  <c r="C8" i="19"/>
  <c r="C9" i="19"/>
  <c r="C10" i="19"/>
  <c r="C2" i="19"/>
  <c r="D3" i="16" a="1"/>
  <c r="D3" i="16" s="1"/>
  <c r="D4" i="16" a="1"/>
  <c r="D4" i="16" s="1"/>
  <c r="D5" i="16" a="1"/>
  <c r="D5" i="16" s="1"/>
  <c r="D6" i="16" a="1"/>
  <c r="D6" i="16" s="1"/>
  <c r="D7" i="16" a="1"/>
  <c r="D7" i="16" s="1"/>
  <c r="D8" i="16" a="1"/>
  <c r="D8" i="16"/>
  <c r="D9" i="16" a="1"/>
  <c r="D9" i="16" s="1"/>
  <c r="D10" i="16" a="1"/>
  <c r="D10" i="16" s="1"/>
  <c r="D2" i="16" a="1"/>
  <c r="D2" i="16" s="1"/>
  <c r="C3" i="16"/>
  <c r="C4" i="16"/>
  <c r="C5" i="16"/>
  <c r="C6" i="16"/>
  <c r="C7" i="16"/>
  <c r="C8" i="16"/>
  <c r="C9" i="16"/>
  <c r="C10" i="16"/>
  <c r="C2" i="16"/>
  <c r="B3" i="21" l="1"/>
  <c r="B4" i="21"/>
  <c r="B5" i="21"/>
  <c r="B6" i="21"/>
  <c r="B7" i="21"/>
  <c r="B8" i="21"/>
  <c r="B9" i="21"/>
  <c r="B10" i="21"/>
  <c r="B2" i="21"/>
  <c r="C3" i="21"/>
  <c r="C4" i="21"/>
  <c r="C5" i="21"/>
  <c r="C6" i="21"/>
  <c r="C7" i="21"/>
  <c r="C8" i="21"/>
  <c r="C9" i="21"/>
  <c r="C10" i="21"/>
  <c r="C2" i="21"/>
  <c r="C2" i="22"/>
  <c r="C3" i="22"/>
  <c r="C4" i="22"/>
  <c r="C5" i="22"/>
  <c r="C6" i="22"/>
  <c r="C7" i="22"/>
  <c r="C8" i="22"/>
  <c r="C9" i="22"/>
  <c r="C10" i="22"/>
  <c r="B2" i="22"/>
  <c r="B3" i="22"/>
  <c r="B4" i="22"/>
  <c r="B5" i="22"/>
  <c r="B6" i="22"/>
  <c r="B7" i="22"/>
  <c r="B8" i="22"/>
  <c r="B9" i="22"/>
  <c r="B10" i="22"/>
  <c r="B3" i="16" l="1"/>
  <c r="B4" i="16"/>
  <c r="B5" i="16"/>
  <c r="B6" i="16"/>
  <c r="B7" i="16"/>
  <c r="B8" i="16"/>
  <c r="B9" i="16"/>
  <c r="B10" i="16"/>
  <c r="B2" i="1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<sst xmlns="http://schemas.openxmlformats.org/spreadsheetml/2006/main" count="83" uniqueCount="45">
  <si>
    <t>ID</t>
  </si>
  <si>
    <t>A-01</t>
  </si>
  <si>
    <t>B-01</t>
  </si>
  <si>
    <t>01-A</t>
  </si>
  <si>
    <t>02-BB</t>
  </si>
  <si>
    <t>Author</t>
  </si>
  <si>
    <t>Last update</t>
  </si>
  <si>
    <t>Tutorial URL</t>
  </si>
  <si>
    <t>Group A</t>
  </si>
  <si>
    <t>aa-02</t>
  </si>
  <si>
    <t>bb-02</t>
  </si>
  <si>
    <t>AB-002</t>
  </si>
  <si>
    <t>01-AA-02</t>
  </si>
  <si>
    <t>03-CC</t>
  </si>
  <si>
    <t>bc-02</t>
  </si>
  <si>
    <t>b</t>
  </si>
  <si>
    <t xml:space="preserve">AND </t>
  </si>
  <si>
    <t>ID contains</t>
  </si>
  <si>
    <t>OR</t>
  </si>
  <si>
    <t>aa</t>
  </si>
  <si>
    <t>bb</t>
  </si>
  <si>
    <t>Status</t>
  </si>
  <si>
    <t>Group A /a</t>
  </si>
  <si>
    <t xml:space="preserve">The workbook shows how to create an IF statement with wildcard text and get it to work for partial matches. </t>
  </si>
  <si>
    <t>Sample Workbook to IF Statement with Wildcard Text</t>
  </si>
  <si>
    <t xml:space="preserve">IF statement with wildcard text </t>
  </si>
  <si>
    <t xml:space="preserve">IF formula for partial matches </t>
  </si>
  <si>
    <t xml:space="preserve">IF OR wildcard statement </t>
  </si>
  <si>
    <t>IF AND wildcard formula</t>
  </si>
  <si>
    <t>Formula 1</t>
  </si>
  <si>
    <t>Formula 2</t>
  </si>
  <si>
    <t>Formula 3</t>
  </si>
  <si>
    <t>Examples:</t>
  </si>
  <si>
    <t xml:space="preserve">• </t>
  </si>
  <si>
    <t xml:space="preserve"> </t>
  </si>
  <si>
    <r>
      <t>IF(COUNTIF(</t>
    </r>
    <r>
      <rPr>
        <i/>
        <sz val="11"/>
        <color rgb="FF0060AA"/>
        <rFont val="Courier New"/>
        <family val="3"/>
      </rPr>
      <t>cell</t>
    </r>
    <r>
      <rPr>
        <sz val="11"/>
        <color rgb="FF454545"/>
        <rFont val="Courier New"/>
        <family val="3"/>
      </rPr>
      <t>, "*</t>
    </r>
    <r>
      <rPr>
        <i/>
        <sz val="11"/>
        <color rgb="FF0060AA"/>
        <rFont val="Courier New"/>
        <family val="3"/>
      </rPr>
      <t>text</t>
    </r>
    <r>
      <rPr>
        <sz val="11"/>
        <color rgb="FF454545"/>
        <rFont val="Courier New"/>
        <family val="3"/>
      </rPr>
      <t>*"), value_if_true, value_if_false)</t>
    </r>
  </si>
  <si>
    <t>Another way to force Excel IF to work for partial text match is to include either the FIND or SEARCH function in the logical test. The difference is that FIND is case-sensitive while SEARCH is not.</t>
  </si>
  <si>
    <t>So, depending on whether you want to treat lowercase and uppercase as the same or different characters, one of these formulas will work a treat:</t>
  </si>
  <si>
    <t>Case-insensitive formula for partial match:</t>
  </si>
  <si>
    <t>IF(ISNUMBER(SEARCH("text", cell)), value_if_true, value_if_false)</t>
  </si>
  <si>
    <t>Case-sensitive formula for partial match:</t>
  </si>
  <si>
    <t>IF(ISNUMBER(FIND("text", cell)), value_if_true, value_if_false)</t>
  </si>
  <si>
    <t>As both functions are designed to perform a "cell contains" type of match, wildcards aren't really needed in this case.</t>
  </si>
  <si>
    <t>For example, to detect IDs containing "A" or "a", the formula is:</t>
  </si>
  <si>
    <t>Contains B and 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</si>
</sst>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409]d\-mmm\-yy;@"/>
  </numFmts>
  <fonts count="16" x14ac:knownFonts="1">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sz val="11"/>
      <color theme="1"/>
      <name val="Calibri"/>
      <family val="2"/>
    </font>
    <font>
      <u/>
      <sz val="10"/>
      <color indexed="12"/>
      <name val="Arial"/>
      <family val="2"/>
    </font>
    <font>
      <u/>
      <sz val="11"/>
      <color theme="10"/>
      <name val="Calibri"/>
      <family val="2"/>
    </font>
    <font>
      <b/>
      <sz val="11"/>
      <color theme="1"/>
      <name val="Calibri"/>
      <family val="2"/>
      <charset val="204"/>
      <scheme val="minor"/>
    </font>
    <font>
      <i/>
      <sz val="11"/>
      <color theme="1"/>
      <name val="Calibri"/>
      <family val="2"/>
      <scheme val="minor"/>
    </font>
    <font>
      <sz val="8"/>
      <name val="Calibri"/>
      <family val="2"/>
      <scheme val="minor"/>
    </font>
    <font>
      <sz val="11"/>
      <color theme="1"/>
      <name val="Calibri"/>
      <family val="2"/>
      <charset val="204"/>
      <scheme val="minor"/>
    </font>
    <font>
      <sz val="27"/>
      <color theme="1" tint="0.249977111117893"/>
      <name val="Calibri"/>
      <family val="2"/>
      <charset val="204"/>
      <scheme val="minor"/>
    </font>
    <font>
      <sz val="11"/>
      <color theme="10"/>
      <name val="Calibri"/>
      <family val="2"/>
      <charset val="204"/>
      <scheme val="minor"/>
    </font>
    <font>
      <sz val="11"/>
      <color theme="10"/>
      <name val="Calibri"/>
      <family val="2"/>
      <scheme val="minor"/>
    </font>
    <font>
      <sz val="11"/>
      <color rgb="FF454545"/>
      <name val="Courier New"/>
      <family val="3"/>
    </font>
    <font>
      <i/>
      <sz val="11"/>
      <color rgb="FF0060AA"/>
      <name val="Courier New"/>
      <family val="3"/>
    </font>
  </fonts>
  <fills count="5">
    <fill>
      <patternFill patternType="none"/>
    </fill>
    <fill>
      <patternFill patternType="gray125"/>
    </fill>
    <fill>
      <patternFill patternType="solid">
        <fgColor theme="4" tint="0.79998168889431442"/>
        <bgColor indexed="64"/>
      </patternFill>
    </fill>
    <fill>
      <patternFill patternType="solid">
        <fgColor theme="2"/>
        <bgColor indexed="64"/>
      </patternFill>
    </fill>
    <fill>
      <patternFill patternType="solid">
        <fgColor theme="0"/>
        <bgColor indexed="64"/>
      </patternFill>
    </fill>
  </fills>
  <borders count="7">
    <border>
      <left/>
      <right/>
      <top/>
      <bottom/>
      <diagonal/>
    </border>
    <border>
      <left style="thin">
        <color theme="2" tint="-0.499984740745262"/>
      </left>
      <right/>
      <top style="thin">
        <color theme="2" tint="-0.499984740745262"/>
      </top>
      <bottom/>
      <diagonal/>
    </border>
    <border>
      <left/>
      <right style="thin">
        <color theme="2" tint="-0.499984740745262"/>
      </right>
      <top style="thin">
        <color theme="2" tint="-0.499984740745262"/>
      </top>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right/>
      <top style="thin">
        <color theme="2" tint="-0.499984740745262"/>
      </top>
      <bottom/>
      <diagonal/>
    </border>
    <border>
      <left/>
      <right/>
      <top/>
      <bottom style="thin">
        <color theme="2" tint="-0.499984740745262"/>
      </bottom>
      <diagonal/>
    </border>
  </borders>
  <cellStyleXfs count="8">
    <xf numFmtId="0" fontId="0" fillId="0" borderId="0"/>
    <xf numFmtId="0" fontId="3" fillId="0" borderId="0" applyNumberFormat="0" applyFill="0" applyBorder="0" applyAlignment="0" applyProtection="0"/>
    <xf numFmtId="0" fontId="2" fillId="0" borderId="0"/>
    <xf numFmtId="0" fontId="4" fillId="0" borderId="0"/>
    <xf numFmtId="0" fontId="5" fillId="0" borderId="0" applyNumberFormat="0" applyFill="0" applyBorder="0" applyAlignment="0" applyProtection="0">
      <alignment vertical="top"/>
      <protection locked="0"/>
    </xf>
    <xf numFmtId="0" fontId="6" fillId="0" borderId="0" applyNumberFormat="0" applyFill="0" applyBorder="0" applyAlignment="0" applyProtection="0"/>
    <xf numFmtId="0" fontId="10" fillId="0" borderId="0"/>
    <xf numFmtId="0" fontId="3" fillId="0" borderId="0" applyNumberFormat="0" applyFill="0" applyBorder="0" applyAlignment="0" applyProtection="0"/>
  </cellStyleXfs>
  <cellXfs count="29">
    <xf numFmtId="0" fontId="0" fillId="0" borderId="0" xfId="0"/>
    <xf numFmtId="0" fontId="1" fillId="2" borderId="0" xfId="0" applyFont="1" applyFill="1"/>
    <xf numFmtId="0" fontId="3" fillId="0" borderId="0" xfId="1"/>
    <xf numFmtId="164" fontId="0" fillId="0" borderId="0" xfId="0" applyNumberFormat="1" applyAlignment="1">
      <alignment horizontal="center"/>
    </xf>
    <xf numFmtId="0" fontId="0" fillId="0" borderId="3" xfId="0" applyBorder="1" applyAlignment="1">
      <alignment horizontal="center"/>
    </xf>
    <xf numFmtId="0" fontId="0" fillId="0" borderId="6" xfId="0" applyBorder="1"/>
    <xf numFmtId="0" fontId="0" fillId="0" borderId="4" xfId="0" applyBorder="1" applyAlignment="1">
      <alignment horizontal="center"/>
    </xf>
    <xf numFmtId="0" fontId="0" fillId="0" borderId="6" xfId="0" applyBorder="1" applyAlignment="1">
      <alignment horizontal="center"/>
    </xf>
    <xf numFmtId="0" fontId="1" fillId="2" borderId="0" xfId="0" applyFont="1" applyFill="1" applyAlignment="1">
      <alignment horizontal="center"/>
    </xf>
    <xf numFmtId="0" fontId="0" fillId="0" borderId="0" xfId="0" applyAlignment="1">
      <alignment horizontal="center"/>
    </xf>
    <xf numFmtId="0" fontId="10" fillId="4" borderId="0" xfId="6" applyFill="1"/>
    <xf numFmtId="0" fontId="10" fillId="4" borderId="0" xfId="6" applyFill="1" applyAlignment="1">
      <alignment horizontal="left"/>
    </xf>
    <xf numFmtId="0" fontId="12" fillId="4" borderId="0" xfId="7" applyFont="1" applyFill="1"/>
    <xf numFmtId="165" fontId="10" fillId="4" borderId="0" xfId="6" applyNumberFormat="1" applyFill="1" applyAlignment="1">
      <alignment horizontal="left"/>
    </xf>
    <xf numFmtId="0" fontId="7" fillId="4" borderId="0" xfId="6" applyFont="1" applyFill="1" applyAlignment="1">
      <alignment vertical="top"/>
    </xf>
    <xf numFmtId="0" fontId="10" fillId="4" borderId="0" xfId="6" applyFill="1" applyAlignment="1">
      <alignment vertical="top"/>
    </xf>
    <xf numFmtId="0" fontId="10" fillId="4" borderId="0" xfId="6" applyFill="1" applyAlignment="1">
      <alignment horizontal="right"/>
    </xf>
    <xf numFmtId="0" fontId="13" fillId="0" borderId="0" xfId="1" applyFont="1"/>
    <xf numFmtId="0" fontId="10" fillId="0" borderId="0" xfId="6"/>
    <xf numFmtId="0" fontId="10" fillId="4" borderId="0" xfId="6" applyFill="1" applyAlignment="1">
      <alignment vertical="top" wrapText="1"/>
    </xf>
    <xf numFmtId="0" fontId="13" fillId="4" borderId="0" xfId="1" applyFont="1" applyFill="1"/>
    <xf numFmtId="0" fontId="11" fillId="4" borderId="0" xfId="6" applyFont="1" applyFill="1" applyAlignment="1">
      <alignment horizontal="left"/>
    </xf>
    <xf numFmtId="0" fontId="8" fillId="3" borderId="1" xfId="0" applyFont="1" applyFill="1" applyBorder="1" applyAlignment="1">
      <alignment horizontal="center"/>
    </xf>
    <xf numFmtId="0" fontId="8" fillId="3" borderId="5" xfId="0" applyFont="1" applyFill="1" applyBorder="1" applyAlignment="1">
      <alignment horizontal="center"/>
    </xf>
    <xf numFmtId="0" fontId="8" fillId="3" borderId="2" xfId="0" applyFont="1" applyFill="1" applyBorder="1" applyAlignment="1">
      <alignment horizontal="center"/>
    </xf>
    <xf numFmtId="0" fontId="8" fillId="0" borderId="1" xfId="0" applyFont="1" applyBorder="1" applyAlignment="1">
      <alignment horizontal="center"/>
    </xf>
    <xf numFmtId="0" fontId="8" fillId="0" borderId="5" xfId="0" applyFont="1" applyBorder="1" applyAlignment="1">
      <alignment horizontal="center"/>
    </xf>
    <xf numFmtId="0" fontId="8" fillId="0" borderId="2" xfId="0" applyFont="1" applyBorder="1" applyAlignment="1">
      <alignment horizontal="center"/>
    </xf>
    <xf numFmtId="0" fontId="14" fillId="0" borderId="0" xfId="0" applyFont="1"/>
  </cellXfs>
  <cellStyles count="8">
    <cellStyle name="Hyperlink" xfId="1" builtinId="8"/>
    <cellStyle name="Hyperlink 2" xfId="4"/>
    <cellStyle name="Hyperlink 3" xfId="5"/>
    <cellStyle name="Hyperlink 3 2" xfId="7"/>
    <cellStyle name="Normal" xfId="0" builtinId="0"/>
    <cellStyle name="Normal 2" xfId="2"/>
    <cellStyle name="Normal 3" xfId="3"/>
    <cellStyle name="Normal 3 2"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8"/>
  <sheetViews>
    <sheetView showGridLines="0" topLeftCell="A7" workbookViewId="0">
      <selection activeCell="C13" sqref="C13"/>
    </sheetView>
  </sheetViews>
  <sheetFormatPr defaultColWidth="9.140625" defaultRowHeight="15" x14ac:dyDescent="0.25"/>
  <cols>
    <col min="1" max="1" width="4.7109375" style="10" customWidth="1"/>
    <col min="2" max="2" width="15.7109375" style="10" customWidth="1"/>
    <col min="3" max="3" width="75.7109375" style="10" customWidth="1"/>
    <col min="4" max="16384" width="9.140625" style="10"/>
  </cols>
  <sheetData>
    <row r="2" spans="1:5" ht="18.75" customHeight="1" x14ac:dyDescent="0.25"/>
    <row r="3" spans="1:5" ht="16.899999999999999" customHeight="1" x14ac:dyDescent="0.25"/>
    <row r="4" spans="1:5" ht="28.15" customHeight="1" x14ac:dyDescent="0.55000000000000004">
      <c r="B4" s="21" t="s">
        <v>24</v>
      </c>
      <c r="C4" s="21"/>
      <c r="D4" s="21"/>
      <c r="E4" s="21"/>
    </row>
    <row r="6" spans="1:5" ht="27" customHeight="1" x14ac:dyDescent="0.25">
      <c r="B6" s="19" t="s">
        <v>23</v>
      </c>
      <c r="C6" s="19"/>
    </row>
    <row r="7" spans="1:5" x14ac:dyDescent="0.25">
      <c r="B7" s="11" t="s">
        <v>5</v>
      </c>
      <c r="C7" s="12"/>
    </row>
    <row r="8" spans="1:5" x14ac:dyDescent="0.25">
      <c r="B8" s="11" t="s">
        <v>6</v>
      </c>
      <c r="C8" s="13">
        <v>44078</v>
      </c>
    </row>
    <row r="9" spans="1:5" x14ac:dyDescent="0.25">
      <c r="B9" s="11" t="s">
        <v>7</v>
      </c>
      <c r="C9" s="20"/>
      <c r="D9" s="20"/>
    </row>
    <row r="10" spans="1:5" x14ac:dyDescent="0.25">
      <c r="B10" s="11"/>
      <c r="C10" s="12"/>
    </row>
    <row r="11" spans="1:5" x14ac:dyDescent="0.25">
      <c r="B11" s="14" t="s">
        <v>32</v>
      </c>
      <c r="C11" s="15"/>
    </row>
    <row r="12" spans="1:5" x14ac:dyDescent="0.25">
      <c r="A12" s="16" t="s">
        <v>33</v>
      </c>
      <c r="B12" s="17" t="s">
        <v>25</v>
      </c>
      <c r="C12" s="2"/>
    </row>
    <row r="13" spans="1:5" x14ac:dyDescent="0.25">
      <c r="A13" s="16" t="s">
        <v>33</v>
      </c>
      <c r="B13" s="17" t="s">
        <v>26</v>
      </c>
      <c r="C13" s="2"/>
    </row>
    <row r="14" spans="1:5" x14ac:dyDescent="0.25">
      <c r="A14" s="16" t="s">
        <v>33</v>
      </c>
      <c r="B14" s="17" t="s">
        <v>27</v>
      </c>
      <c r="C14" s="2"/>
    </row>
    <row r="15" spans="1:5" x14ac:dyDescent="0.25">
      <c r="A15" s="16" t="s">
        <v>33</v>
      </c>
      <c r="B15" s="17" t="s">
        <v>28</v>
      </c>
      <c r="C15" s="2"/>
    </row>
    <row r="16" spans="1:5" s="18" customFormat="1" x14ac:dyDescent="0.25"/>
    <row r="18" spans="3:7" ht="15.75" x14ac:dyDescent="0.3">
      <c r="C18" s="28" t="s">
        <v>35</v>
      </c>
      <c r="G18" s="10" t="s">
        <v>34</v>
      </c>
    </row>
  </sheetData>
  <mergeCells count="3">
    <mergeCell ref="B6:C6"/>
    <mergeCell ref="C9:D9"/>
    <mergeCell ref="B4:E4"/>
  </mergeCells>
  <hyperlinks>
    <hyperlink ref="B12" location="'IF wildcard statement'!A1" display="IF statement with wildcard text "/>
    <hyperlink ref="B13" location="'IF partial match'!A1" display="IF formula for partial matches "/>
    <hyperlink ref="B14" location="'IF OR with wildcard'!A1" display="IF OR wildcard statement "/>
    <hyperlink ref="B15" location="'IF AND with wildcard'!A1" display="IF AND wildcard formula"/>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election activeCell="C2" sqref="C2"/>
    </sheetView>
  </sheetViews>
  <sheetFormatPr defaultRowHeight="15" x14ac:dyDescent="0.25"/>
  <cols>
    <col min="2" max="2" width="11" customWidth="1"/>
  </cols>
  <sheetData>
    <row r="1" spans="1:6" x14ac:dyDescent="0.25">
      <c r="A1" s="1" t="s">
        <v>0</v>
      </c>
      <c r="B1" s="1" t="s">
        <v>8</v>
      </c>
      <c r="C1" s="1" t="s">
        <v>21</v>
      </c>
      <c r="E1" s="1" t="s">
        <v>8</v>
      </c>
    </row>
    <row r="2" spans="1:6" x14ac:dyDescent="0.25">
      <c r="A2" t="s">
        <v>3</v>
      </c>
      <c r="B2" s="3" t="str">
        <f>IF(COUNTIF(A2, "*a*"),"Yes", "No")</f>
        <v>Yes</v>
      </c>
      <c r="C2" t="str">
        <f>IF(COUNTIF(A2, "??-??"), "Valid", "")</f>
        <v/>
      </c>
      <c r="E2" s="28" t="str">
        <f>IF(A2="*a*","Yes", "No")</f>
        <v>No</v>
      </c>
      <c r="F2" s="28">
        <f>COUNTIF(A2:A10, "*a*")</f>
        <v>5</v>
      </c>
    </row>
    <row r="3" spans="1:6" x14ac:dyDescent="0.25">
      <c r="A3" t="s">
        <v>4</v>
      </c>
      <c r="B3" s="3" t="str">
        <f t="shared" ref="B3:B9" si="0">IF(COUNTIF(A3, "*a*"),"Yes", "No")</f>
        <v>No</v>
      </c>
      <c r="C3" t="str">
        <f t="shared" ref="C3:C10" si="1">IF(COUNTIF(A3, "??-??"), "Valid", "")</f>
        <v>Valid</v>
      </c>
    </row>
    <row r="4" spans="1:6" x14ac:dyDescent="0.25">
      <c r="A4" t="s">
        <v>13</v>
      </c>
      <c r="B4" s="3" t="str">
        <f t="shared" si="0"/>
        <v>No</v>
      </c>
      <c r="C4" t="str">
        <f t="shared" si="1"/>
        <v>Valid</v>
      </c>
    </row>
    <row r="5" spans="1:6" x14ac:dyDescent="0.25">
      <c r="A5" t="s">
        <v>1</v>
      </c>
      <c r="B5" s="3" t="str">
        <f t="shared" si="0"/>
        <v>Yes</v>
      </c>
      <c r="C5" t="str">
        <f t="shared" si="1"/>
        <v/>
      </c>
    </row>
    <row r="6" spans="1:6" x14ac:dyDescent="0.25">
      <c r="A6" t="s">
        <v>9</v>
      </c>
      <c r="B6" s="3" t="str">
        <f t="shared" si="0"/>
        <v>Yes</v>
      </c>
      <c r="C6" t="str">
        <f t="shared" si="1"/>
        <v>Valid</v>
      </c>
    </row>
    <row r="7" spans="1:6" x14ac:dyDescent="0.25">
      <c r="A7" t="s">
        <v>2</v>
      </c>
      <c r="B7" s="3" t="str">
        <f t="shared" si="0"/>
        <v>No</v>
      </c>
      <c r="C7" t="str">
        <f t="shared" si="1"/>
        <v/>
      </c>
    </row>
    <row r="8" spans="1:6" x14ac:dyDescent="0.25">
      <c r="A8" t="s">
        <v>10</v>
      </c>
      <c r="B8" s="3" t="str">
        <f t="shared" si="0"/>
        <v>No</v>
      </c>
      <c r="C8" t="str">
        <f t="shared" si="1"/>
        <v>Valid</v>
      </c>
    </row>
    <row r="9" spans="1:6" x14ac:dyDescent="0.25">
      <c r="A9" t="s">
        <v>11</v>
      </c>
      <c r="B9" s="3" t="str">
        <f t="shared" si="0"/>
        <v>Yes</v>
      </c>
      <c r="C9" t="str">
        <f t="shared" si="1"/>
        <v/>
      </c>
    </row>
    <row r="10" spans="1:6" x14ac:dyDescent="0.25">
      <c r="A10" t="s">
        <v>12</v>
      </c>
      <c r="B10" s="3" t="str">
        <f>IF(COUNTIF(A10, "*a*"),"Yes", "No")</f>
        <v>Yes</v>
      </c>
      <c r="C10" t="str">
        <f t="shared" si="1"/>
        <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election activeCell="B2" sqref="B2"/>
    </sheetView>
  </sheetViews>
  <sheetFormatPr defaultRowHeight="15" x14ac:dyDescent="0.25"/>
  <cols>
    <col min="2" max="2" width="11" customWidth="1"/>
    <col min="3" max="3" width="10.140625" customWidth="1"/>
  </cols>
  <sheetData>
    <row r="1" spans="1:8" x14ac:dyDescent="0.25">
      <c r="A1" s="1" t="s">
        <v>0</v>
      </c>
      <c r="B1" s="1" t="s">
        <v>22</v>
      </c>
      <c r="C1" s="8" t="s">
        <v>8</v>
      </c>
    </row>
    <row r="2" spans="1:8" x14ac:dyDescent="0.25">
      <c r="A2" t="s">
        <v>3</v>
      </c>
      <c r="B2" s="3" t="str">
        <f>IF(ISNUMBER(SEARCH("A", A2)), "Yes", "No")</f>
        <v>Yes</v>
      </c>
      <c r="C2" s="9" t="str">
        <f>IF(ISNUMBER(FIND("A", A2)), "Yes", "No")</f>
        <v>Yes</v>
      </c>
      <c r="H2" t="s">
        <v>36</v>
      </c>
    </row>
    <row r="3" spans="1:8" x14ac:dyDescent="0.25">
      <c r="A3" t="s">
        <v>4</v>
      </c>
      <c r="B3" s="3" t="str">
        <f t="shared" ref="B3:B10" si="0">IF(ISNUMBER(SEARCH("A", A3)), "Yes", "No")</f>
        <v>No</v>
      </c>
      <c r="C3" s="9" t="str">
        <f t="shared" ref="C3:C10" si="1">IF(ISNUMBER(FIND("A", A3)), "Yes", "No")</f>
        <v>No</v>
      </c>
    </row>
    <row r="4" spans="1:8" x14ac:dyDescent="0.25">
      <c r="A4" t="s">
        <v>13</v>
      </c>
      <c r="B4" s="3" t="str">
        <f t="shared" si="0"/>
        <v>No</v>
      </c>
      <c r="C4" s="9" t="str">
        <f t="shared" si="1"/>
        <v>No</v>
      </c>
      <c r="H4" t="s">
        <v>37</v>
      </c>
    </row>
    <row r="5" spans="1:8" x14ac:dyDescent="0.25">
      <c r="A5" t="s">
        <v>1</v>
      </c>
      <c r="B5" s="3" t="str">
        <f t="shared" si="0"/>
        <v>Yes</v>
      </c>
      <c r="C5" s="9" t="str">
        <f t="shared" si="1"/>
        <v>Yes</v>
      </c>
    </row>
    <row r="6" spans="1:8" x14ac:dyDescent="0.25">
      <c r="A6" t="s">
        <v>9</v>
      </c>
      <c r="B6" s="3" t="str">
        <f t="shared" si="0"/>
        <v>Yes</v>
      </c>
      <c r="C6" s="9" t="str">
        <f t="shared" si="1"/>
        <v>No</v>
      </c>
      <c r="H6" t="s">
        <v>38</v>
      </c>
    </row>
    <row r="7" spans="1:8" x14ac:dyDescent="0.25">
      <c r="A7" t="s">
        <v>2</v>
      </c>
      <c r="B7" s="3" t="str">
        <f t="shared" si="0"/>
        <v>No</v>
      </c>
      <c r="C7" s="9" t="str">
        <f t="shared" si="1"/>
        <v>No</v>
      </c>
    </row>
    <row r="8" spans="1:8" x14ac:dyDescent="0.25">
      <c r="A8" t="s">
        <v>10</v>
      </c>
      <c r="B8" s="3" t="str">
        <f t="shared" si="0"/>
        <v>No</v>
      </c>
      <c r="C8" s="9" t="str">
        <f t="shared" si="1"/>
        <v>No</v>
      </c>
      <c r="H8" t="s">
        <v>39</v>
      </c>
    </row>
    <row r="9" spans="1:8" x14ac:dyDescent="0.25">
      <c r="A9" t="s">
        <v>11</v>
      </c>
      <c r="B9" s="3" t="str">
        <f t="shared" si="0"/>
        <v>Yes</v>
      </c>
      <c r="C9" s="9" t="str">
        <f t="shared" si="1"/>
        <v>Yes</v>
      </c>
      <c r="H9" t="s">
        <v>40</v>
      </c>
    </row>
    <row r="10" spans="1:8" x14ac:dyDescent="0.25">
      <c r="A10" t="s">
        <v>12</v>
      </c>
      <c r="B10" s="3" t="str">
        <f t="shared" si="0"/>
        <v>Yes</v>
      </c>
      <c r="C10" s="9" t="str">
        <f t="shared" si="1"/>
        <v>Yes</v>
      </c>
    </row>
    <row r="11" spans="1:8" x14ac:dyDescent="0.25">
      <c r="H11" t="s">
        <v>41</v>
      </c>
    </row>
    <row r="12" spans="1:8" x14ac:dyDescent="0.25">
      <c r="H12" t="s">
        <v>42</v>
      </c>
    </row>
    <row r="14" spans="1:8" x14ac:dyDescent="0.25">
      <c r="H14" t="s">
        <v>43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election activeCell="J4" sqref="J4:J11"/>
    </sheetView>
  </sheetViews>
  <sheetFormatPr defaultRowHeight="15" x14ac:dyDescent="0.25"/>
  <cols>
    <col min="2" max="4" width="11.140625" customWidth="1"/>
  </cols>
  <sheetData>
    <row r="1" spans="1:10" x14ac:dyDescent="0.25">
      <c r="A1" s="1" t="s">
        <v>0</v>
      </c>
      <c r="B1" s="1" t="s">
        <v>29</v>
      </c>
      <c r="C1" s="1" t="s">
        <v>30</v>
      </c>
      <c r="D1" s="1" t="s">
        <v>31</v>
      </c>
      <c r="F1" s="22" t="s">
        <v>17</v>
      </c>
      <c r="G1" s="23"/>
      <c r="H1" s="24"/>
    </row>
    <row r="2" spans="1:10" x14ac:dyDescent="0.25">
      <c r="A2" t="s">
        <v>3</v>
      </c>
      <c r="B2" s="3" t="str">
        <f>IF(OR(COUNTIF(A2, "*"&amp;$F$2&amp;"*"), COUNTIF(A2, "*"&amp;$H$2&amp;"*")), "Yes", "")</f>
        <v/>
      </c>
      <c r="C2" s="3" t="str">
        <f>IF(OR(ISNUMBER(SEARCH($F$2, A2)), ISNUMBER(SEARCH($H$2, A2))), "Yes", "")</f>
        <v/>
      </c>
      <c r="D2" s="3" t="str" cm="1">
        <f t="array" ref="D2">IF(COUNT(SEARCH({"aa","bb"}, A2))&gt;0, "Yes", "")</f>
        <v/>
      </c>
      <c r="F2" s="4" t="s">
        <v>19</v>
      </c>
      <c r="G2" s="7" t="s">
        <v>18</v>
      </c>
      <c r="H2" s="6" t="s">
        <v>20</v>
      </c>
    </row>
    <row r="3" spans="1:10" x14ac:dyDescent="0.25">
      <c r="A3" t="s">
        <v>4</v>
      </c>
      <c r="B3" s="3" t="str">
        <f t="shared" ref="B3:B10" si="0">IF(OR(COUNTIF(A3, "*"&amp;$F$2&amp;"*"), COUNTIF(A3, "*"&amp;$H$2&amp;"*")), "Yes", "")</f>
        <v>Yes</v>
      </c>
      <c r="C3" s="3" t="str">
        <f t="shared" ref="C3:C10" si="1">IF(OR(ISNUMBER(SEARCH($F$2, A3)), ISNUMBER(SEARCH($H$2, A3))), "Yes", "")</f>
        <v>Yes</v>
      </c>
      <c r="D3" s="3" t="str" cm="1">
        <f t="array" ref="D3">IF(COUNT(SEARCH({"aa","bb"}, A3))&gt;0, "Yes", "")</f>
        <v>Yes</v>
      </c>
    </row>
    <row r="4" spans="1:10" x14ac:dyDescent="0.25">
      <c r="A4" t="s">
        <v>13</v>
      </c>
      <c r="B4" s="3" t="str">
        <f t="shared" si="0"/>
        <v/>
      </c>
      <c r="C4" s="3" t="str">
        <f t="shared" si="1"/>
        <v/>
      </c>
      <c r="D4" s="3" t="str" cm="1">
        <f t="array" ref="D4">IF(COUNT(SEARCH({"aa","bb"}, A4))&gt;0, "Yes", "")</f>
        <v/>
      </c>
      <c r="F4" s="28" t="str">
        <f>IF(OR(ISNUMBER(SEARCH("aa", A2)), ISNUMBER(SEARCH("bb", A2))), "Yes", "")</f>
        <v/>
      </c>
      <c r="G4" s="28" t="str">
        <f>IF(OR(COUNTIF(A2, "*aa*"), COUNTIF(A2, "*bb*")), "Yes", "")</f>
        <v/>
      </c>
      <c r="H4" s="28" t="str">
        <f>IF(COUNTIF(A3, "*aa*") + COUNTIF(A3, "*bb*"), "Yes", "")</f>
        <v>Yes</v>
      </c>
      <c r="I4" s="28" t="str">
        <f>IF(OR(COUNTIF(A2, "*"&amp;$D$2&amp;"*"), COUNTIF(A2, "*"&amp;$F$2&amp;"*")), "Yes", "")</f>
        <v>Yes</v>
      </c>
      <c r="J4" s="28" t="str">
        <f>IF(COUNT(SEARCH({"aa","bb"}, A2))&gt;0, "Yes", "")</f>
        <v/>
      </c>
    </row>
    <row r="5" spans="1:10" x14ac:dyDescent="0.25">
      <c r="A5" t="s">
        <v>1</v>
      </c>
      <c r="B5" s="3" t="str">
        <f t="shared" si="0"/>
        <v/>
      </c>
      <c r="C5" s="3" t="str">
        <f t="shared" si="1"/>
        <v/>
      </c>
      <c r="D5" s="3" t="str" cm="1">
        <f t="array" ref="D5">IF(COUNT(SEARCH({"aa","bb"}, A5))&gt;0, "Yes", "")</f>
        <v/>
      </c>
      <c r="F5" s="28" t="str">
        <f t="shared" ref="F5:F10" si="2">IF(OR(ISNUMBER(SEARCH("aa", A3)), ISNUMBER(SEARCH("bb", A3))), "Yes", "")</f>
        <v>Yes</v>
      </c>
      <c r="G5" s="28" t="str">
        <f t="shared" ref="G5:G10" si="3">IF(OR(COUNTIF(A3, "*aa*"), COUNTIF(A3, "*bb*")), "Yes", "")</f>
        <v>Yes</v>
      </c>
      <c r="H5" s="28" t="str">
        <f t="shared" ref="H5:H11" si="4">IF(COUNTIF(A4, "*aa*") + COUNTIF(A4, "*bb*"), "Yes", "")</f>
        <v/>
      </c>
      <c r="I5" s="28" t="str">
        <f t="shared" ref="I5:I11" si="5">IF(OR(COUNTIF(A3, "*"&amp;$D$2&amp;"*"), COUNTIF(A3, "*"&amp;$F$2&amp;"*")), "Yes", "")</f>
        <v>Yes</v>
      </c>
      <c r="J5" s="28" t="str">
        <f>IF(COUNT(SEARCH({"aa","bb"}, A3))&gt;0, "Yes", "")</f>
        <v>Yes</v>
      </c>
    </row>
    <row r="6" spans="1:10" x14ac:dyDescent="0.25">
      <c r="A6" t="s">
        <v>9</v>
      </c>
      <c r="B6" s="3" t="str">
        <f t="shared" si="0"/>
        <v>Yes</v>
      </c>
      <c r="C6" s="3" t="str">
        <f t="shared" si="1"/>
        <v>Yes</v>
      </c>
      <c r="D6" s="3" t="str" cm="1">
        <f t="array" ref="D6">IF(COUNT(SEARCH({"aa","bb"}, A6))&gt;0, "Yes", "")</f>
        <v>Yes</v>
      </c>
      <c r="F6" s="28" t="str">
        <f t="shared" si="2"/>
        <v/>
      </c>
      <c r="G6" s="28" t="str">
        <f t="shared" si="3"/>
        <v/>
      </c>
      <c r="H6" s="28" t="str">
        <f t="shared" si="4"/>
        <v/>
      </c>
      <c r="I6" s="28" t="str">
        <f t="shared" si="5"/>
        <v>Yes</v>
      </c>
      <c r="J6" s="28" t="str">
        <f>IF(COUNT(SEARCH({"aa","bb"}, A4))&gt;0, "Yes", "")</f>
        <v/>
      </c>
    </row>
    <row r="7" spans="1:10" x14ac:dyDescent="0.25">
      <c r="A7" t="s">
        <v>2</v>
      </c>
      <c r="B7" s="3" t="str">
        <f t="shared" si="0"/>
        <v/>
      </c>
      <c r="C7" s="3" t="str">
        <f t="shared" si="1"/>
        <v/>
      </c>
      <c r="D7" s="3" t="str" cm="1">
        <f t="array" ref="D7">IF(COUNT(SEARCH({"aa","bb"}, A7))&gt;0, "Yes", "")</f>
        <v/>
      </c>
      <c r="F7" s="28" t="str">
        <f t="shared" si="2"/>
        <v/>
      </c>
      <c r="G7" s="28" t="str">
        <f t="shared" si="3"/>
        <v/>
      </c>
      <c r="H7" s="28" t="str">
        <f t="shared" si="4"/>
        <v>Yes</v>
      </c>
      <c r="I7" s="28" t="str">
        <f t="shared" si="5"/>
        <v>Yes</v>
      </c>
      <c r="J7" s="28" t="str">
        <f>IF(COUNT(SEARCH({"aa","bb"}, A5))&gt;0, "Yes", "")</f>
        <v/>
      </c>
    </row>
    <row r="8" spans="1:10" x14ac:dyDescent="0.25">
      <c r="A8" t="s">
        <v>10</v>
      </c>
      <c r="B8" s="3" t="str">
        <f t="shared" si="0"/>
        <v>Yes</v>
      </c>
      <c r="C8" s="3" t="str">
        <f t="shared" si="1"/>
        <v>Yes</v>
      </c>
      <c r="D8" s="3" t="str" cm="1">
        <f t="array" ref="D8">IF(COUNT(SEARCH({"aa","bb"}, A8))&gt;0, "Yes", "")</f>
        <v>Yes</v>
      </c>
      <c r="F8" s="28" t="str">
        <f t="shared" si="2"/>
        <v>Yes</v>
      </c>
      <c r="G8" s="28" t="str">
        <f t="shared" si="3"/>
        <v>Yes</v>
      </c>
      <c r="H8" s="28" t="str">
        <f t="shared" si="4"/>
        <v/>
      </c>
      <c r="I8" s="28" t="str">
        <f t="shared" si="5"/>
        <v>Yes</v>
      </c>
      <c r="J8" s="28" t="str">
        <f>IF(COUNT(SEARCH({"aa","bb"}, A6))&gt;0, "Yes", "")</f>
        <v>Yes</v>
      </c>
    </row>
    <row r="9" spans="1:10" x14ac:dyDescent="0.25">
      <c r="A9" t="s">
        <v>11</v>
      </c>
      <c r="B9" s="3" t="str">
        <f t="shared" si="0"/>
        <v/>
      </c>
      <c r="C9" s="3" t="str">
        <f t="shared" si="1"/>
        <v/>
      </c>
      <c r="D9" s="3" t="str" cm="1">
        <f t="array" ref="D9">IF(COUNT(SEARCH({"aa","bb"}, A9))&gt;0, "Yes", "")</f>
        <v/>
      </c>
      <c r="F9" s="28" t="str">
        <f t="shared" si="2"/>
        <v/>
      </c>
      <c r="G9" s="28" t="str">
        <f t="shared" si="3"/>
        <v/>
      </c>
      <c r="H9" s="28" t="str">
        <f t="shared" si="4"/>
        <v>Yes</v>
      </c>
      <c r="I9" s="28" t="str">
        <f t="shared" si="5"/>
        <v>Yes</v>
      </c>
      <c r="J9" s="28" t="str">
        <f>IF(COUNT(SEARCH({"aa","bb"}, A7))&gt;0, "Yes", "")</f>
        <v/>
      </c>
    </row>
    <row r="10" spans="1:10" x14ac:dyDescent="0.25">
      <c r="A10" t="s">
        <v>12</v>
      </c>
      <c r="B10" s="3" t="str">
        <f t="shared" si="0"/>
        <v>Yes</v>
      </c>
      <c r="C10" s="3" t="str">
        <f t="shared" si="1"/>
        <v>Yes</v>
      </c>
      <c r="D10" s="3" t="str" cm="1">
        <f t="array" ref="D10">IF(COUNT(SEARCH({"aa","bb"}, A10))&gt;0, "Yes", "")</f>
        <v>Yes</v>
      </c>
      <c r="F10" s="28" t="str">
        <f t="shared" si="2"/>
        <v>Yes</v>
      </c>
      <c r="G10" s="28" t="str">
        <f t="shared" si="3"/>
        <v>Yes</v>
      </c>
      <c r="H10" s="28" t="str">
        <f t="shared" si="4"/>
        <v/>
      </c>
      <c r="I10" s="28" t="str">
        <f t="shared" si="5"/>
        <v>Yes</v>
      </c>
      <c r="J10" s="28" t="str">
        <f>IF(COUNT(SEARCH({"aa","bb"}, A8))&gt;0, "Yes", "")</f>
        <v>Yes</v>
      </c>
    </row>
    <row r="11" spans="1:10" x14ac:dyDescent="0.25">
      <c r="H11" s="28" t="str">
        <f t="shared" si="4"/>
        <v>Yes</v>
      </c>
      <c r="I11" s="28" t="str">
        <f t="shared" si="5"/>
        <v>Yes</v>
      </c>
      <c r="J11" s="28" t="str">
        <f>IF(COUNT(SEARCH({"aa","bb"}, A9))&gt;0, "Yes", "")</f>
        <v/>
      </c>
    </row>
  </sheetData>
  <mergeCells count="1">
    <mergeCell ref="F1:H1"/>
  </mergeCells>
  <phoneticPr fontId="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tabSelected="1" workbookViewId="0">
      <selection activeCell="J3" sqref="J3"/>
    </sheetView>
  </sheetViews>
  <sheetFormatPr defaultRowHeight="15" x14ac:dyDescent="0.25"/>
  <cols>
    <col min="2" max="4" width="11.140625" customWidth="1"/>
    <col min="10" max="10" width="15.5703125" bestFit="1" customWidth="1"/>
  </cols>
  <sheetData>
    <row r="1" spans="1:10" x14ac:dyDescent="0.25">
      <c r="A1" s="1" t="s">
        <v>0</v>
      </c>
      <c r="B1" s="1" t="s">
        <v>29</v>
      </c>
      <c r="C1" s="1" t="s">
        <v>30</v>
      </c>
      <c r="D1" s="1" t="s">
        <v>31</v>
      </c>
      <c r="F1" s="25" t="s">
        <v>17</v>
      </c>
      <c r="G1" s="26"/>
      <c r="H1" s="27"/>
    </row>
    <row r="2" spans="1:10" x14ac:dyDescent="0.25">
      <c r="A2" t="s">
        <v>3</v>
      </c>
      <c r="B2" s="3" t="str">
        <f>IF(COUNTIFS(A2, "*"&amp;$F$2&amp;"*", A2,  "*"&amp;$H$2&amp;"*"), "Yes", "")</f>
        <v/>
      </c>
      <c r="C2" s="3" t="str">
        <f>IF(AND(ISNUMBER(SEARCH($F$2, A2)), ISNUMBER(SEARCH($H$2, A2))), "Yes", "")</f>
        <v/>
      </c>
      <c r="D2" s="3" t="str" cm="1">
        <f t="array" ref="D2">IF(COUNT(SEARCH({"b","2"}, A2))=2, "Yes", "")</f>
        <v/>
      </c>
      <c r="F2" s="4" t="s">
        <v>15</v>
      </c>
      <c r="G2" s="5" t="s">
        <v>16</v>
      </c>
      <c r="H2" s="6">
        <v>2</v>
      </c>
      <c r="J2" t="s">
        <v>44</v>
      </c>
    </row>
    <row r="3" spans="1:10" x14ac:dyDescent="0.25">
      <c r="A3" t="s">
        <v>4</v>
      </c>
      <c r="B3" s="3" t="str">
        <f t="shared" ref="B3:B10" si="0">IF(COUNTIFS(A3, "*"&amp;$F$2&amp;"*", A3,  "*"&amp;$H$2&amp;"*"), "Yes", "")</f>
        <v>Yes</v>
      </c>
      <c r="C3" s="3" t="str">
        <f t="shared" ref="C3:C10" si="1">IF(AND(ISNUMBER(SEARCH($F$2, A3)), ISNUMBER(SEARCH($H$2, A3))), "Yes", "")</f>
        <v>Yes</v>
      </c>
      <c r="D3" s="3" t="str" cm="1">
        <f t="array" ref="D3">IF(COUNT(SEARCH({"b","2"}, A3))=2, "Yes", "")</f>
        <v>Yes</v>
      </c>
      <c r="J3" t="str">
        <f>IF(COUNT(SEARCH({"b","2"}, A2))=2, "Yes", "")</f>
        <v/>
      </c>
    </row>
    <row r="4" spans="1:10" x14ac:dyDescent="0.25">
      <c r="A4" t="s">
        <v>13</v>
      </c>
      <c r="B4" s="3" t="str">
        <f t="shared" si="0"/>
        <v/>
      </c>
      <c r="C4" s="3" t="str">
        <f t="shared" si="1"/>
        <v/>
      </c>
      <c r="D4" s="3" t="str" cm="1">
        <f t="array" ref="D4">IF(COUNT(SEARCH({"b","2"}, A4))=2, "Yes", "")</f>
        <v/>
      </c>
      <c r="F4" s="28" t="str">
        <f>IF(COUNTIFS(A2, "*b*", A2, "*2*"), "Yes", "")</f>
        <v/>
      </c>
      <c r="G4" s="28" t="str">
        <f>IF(AND(ISNUMBER(SEARCH("b", A2)), ISNUMBER(SEARCH("2", A2))), "Yes", "")</f>
        <v/>
      </c>
      <c r="H4" s="28" t="str">
        <f>IF(AND(ISNUMBER(SEARCH($D$2, A2)), ISNUMBER(SEARCH($F$2, A2))), "Yes", "")</f>
        <v/>
      </c>
      <c r="J4" t="str">
        <f>IF(COUNT(SEARCH({"b","2"}, A3))=2, "Yes", "")</f>
        <v>Yes</v>
      </c>
    </row>
    <row r="5" spans="1:10" x14ac:dyDescent="0.25">
      <c r="A5" t="s">
        <v>1</v>
      </c>
      <c r="B5" s="3" t="str">
        <f t="shared" si="0"/>
        <v/>
      </c>
      <c r="C5" s="3" t="str">
        <f t="shared" si="1"/>
        <v/>
      </c>
      <c r="D5" s="3" t="str" cm="1">
        <f t="array" ref="D5">IF(COUNT(SEARCH({"b","2"}, A5))=2, "Yes", "")</f>
        <v/>
      </c>
      <c r="F5" s="28" t="str">
        <f t="shared" ref="F5:F10" si="2">IF(COUNTIFS(A3, "*b*", A3, "*2*"), "Yes", "")</f>
        <v>Yes</v>
      </c>
      <c r="G5" s="28" t="str">
        <f t="shared" ref="G5:G10" si="3">IF(AND(ISNUMBER(SEARCH("b", A3)), ISNUMBER(SEARCH("2", A3))), "Yes", "")</f>
        <v>Yes</v>
      </c>
      <c r="H5" s="28" t="str">
        <f t="shared" ref="H5:H10" si="4">IF(AND(ISNUMBER(SEARCH($D$2, A3)), ISNUMBER(SEARCH($F$2, A3))), "Yes", "")</f>
        <v>Yes</v>
      </c>
      <c r="J5" t="str">
        <f>IF(COUNT(SEARCH({"b","2"}, A4))=2, "Yes", "")</f>
        <v/>
      </c>
    </row>
    <row r="6" spans="1:10" x14ac:dyDescent="0.25">
      <c r="A6" t="s">
        <v>9</v>
      </c>
      <c r="B6" s="3" t="str">
        <f t="shared" si="0"/>
        <v/>
      </c>
      <c r="C6" s="3" t="str">
        <f t="shared" si="1"/>
        <v/>
      </c>
      <c r="D6" s="3" t="str" cm="1">
        <f t="array" ref="D6">IF(COUNT(SEARCH({"b","2"}, A6))=2, "Yes", "")</f>
        <v/>
      </c>
      <c r="F6" s="28" t="str">
        <f t="shared" si="2"/>
        <v/>
      </c>
      <c r="G6" s="28" t="str">
        <f t="shared" si="3"/>
        <v/>
      </c>
      <c r="H6" s="28" t="str">
        <f t="shared" si="4"/>
        <v/>
      </c>
      <c r="J6" t="str">
        <f>IF(COUNT(SEARCH({"b","2"}, A5))=2, "Yes", "")</f>
        <v/>
      </c>
    </row>
    <row r="7" spans="1:10" x14ac:dyDescent="0.25">
      <c r="A7" t="s">
        <v>2</v>
      </c>
      <c r="B7" s="3" t="str">
        <f t="shared" si="0"/>
        <v/>
      </c>
      <c r="C7" s="3" t="str">
        <f t="shared" si="1"/>
        <v/>
      </c>
      <c r="D7" s="3" t="str" cm="1">
        <f t="array" ref="D7">IF(COUNT(SEARCH({"b","2"}, A7))=2, "Yes", "")</f>
        <v/>
      </c>
      <c r="F7" s="28" t="str">
        <f t="shared" si="2"/>
        <v/>
      </c>
      <c r="G7" s="28" t="str">
        <f t="shared" si="3"/>
        <v/>
      </c>
      <c r="H7" s="28" t="str">
        <f t="shared" si="4"/>
        <v/>
      </c>
      <c r="J7" t="str">
        <f>IF(COUNT(SEARCH({"b","2"}, A6))=2, "Yes", "")</f>
        <v/>
      </c>
    </row>
    <row r="8" spans="1:10" x14ac:dyDescent="0.25">
      <c r="A8" t="s">
        <v>14</v>
      </c>
      <c r="B8" s="3" t="str">
        <f t="shared" si="0"/>
        <v>Yes</v>
      </c>
      <c r="C8" s="3" t="str">
        <f t="shared" si="1"/>
        <v>Yes</v>
      </c>
      <c r="D8" s="3" t="str" cm="1">
        <f t="array" ref="D8">IF(COUNT(SEARCH({"b","2"}, A8))=2, "Yes", "")</f>
        <v>Yes</v>
      </c>
      <c r="F8" s="28" t="str">
        <f t="shared" si="2"/>
        <v/>
      </c>
      <c r="G8" s="28" t="str">
        <f t="shared" si="3"/>
        <v/>
      </c>
      <c r="H8" s="28" t="str">
        <f t="shared" si="4"/>
        <v/>
      </c>
      <c r="J8" t="str">
        <f>IF(COUNT(SEARCH({"b","2"}, A7))=2, "Yes", "")</f>
        <v/>
      </c>
    </row>
    <row r="9" spans="1:10" x14ac:dyDescent="0.25">
      <c r="A9" t="s">
        <v>11</v>
      </c>
      <c r="B9" s="3" t="str">
        <f t="shared" si="0"/>
        <v>Yes</v>
      </c>
      <c r="C9" s="3" t="str">
        <f t="shared" si="1"/>
        <v>Yes</v>
      </c>
      <c r="D9" s="3" t="str" cm="1">
        <f t="array" ref="D9">IF(COUNT(SEARCH({"b","2"}, A9))=2, "Yes", "")</f>
        <v>Yes</v>
      </c>
      <c r="F9" s="28" t="str">
        <f t="shared" si="2"/>
        <v/>
      </c>
      <c r="G9" s="28" t="str">
        <f t="shared" si="3"/>
        <v/>
      </c>
      <c r="H9" s="28" t="str">
        <f t="shared" si="4"/>
        <v>Yes</v>
      </c>
      <c r="J9" t="str">
        <f>IF(COUNT(SEARCH({"b","2"}, A8))=2, "Yes", "")</f>
        <v>Yes</v>
      </c>
    </row>
    <row r="10" spans="1:10" x14ac:dyDescent="0.25">
      <c r="A10" t="s">
        <v>12</v>
      </c>
      <c r="B10" s="3" t="str">
        <f t="shared" si="0"/>
        <v/>
      </c>
      <c r="C10" s="3" t="str">
        <f t="shared" si="1"/>
        <v/>
      </c>
      <c r="D10" s="3" t="str" cm="1">
        <f t="array" ref="D10">IF(COUNT(SEARCH({"b","2"}, A10))=2, "Yes", "")</f>
        <v/>
      </c>
      <c r="F10" s="28" t="str">
        <f t="shared" si="2"/>
        <v>Yes</v>
      </c>
      <c r="G10" s="28" t="str">
        <f t="shared" si="3"/>
        <v>Yes</v>
      </c>
      <c r="H10" s="28" t="str">
        <f t="shared" si="4"/>
        <v>Yes</v>
      </c>
      <c r="J10" t="str">
        <f>IF(COUNT(SEARCH({"b","2"}, A9))=2, "Yes", "")</f>
        <v>Yes</v>
      </c>
    </row>
  </sheetData>
  <mergeCells count="1">
    <mergeCell ref="F1:H1"/>
  </mergeCells>
  <phoneticPr fontId="9"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Excel IF wildcard - examples</vt:lpstr>
      <vt:lpstr>IF wildcard statement</vt:lpstr>
      <vt:lpstr>IF partial match</vt:lpstr>
      <vt:lpstr>IF OR with wildcard</vt:lpstr>
      <vt:lpstr>IF AND with wildcard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Svetlana Cheusheva</dc:creator>
  <cp:lastModifiedBy>hp</cp:lastModifiedBy>
  <dcterms:created xsi:type="dcterms:W3CDTF">2020-08-25T12:26:00Z</dcterms:created>
  <dcterms:modified xsi:type="dcterms:W3CDTF">2025-10-28T06:40:01Z</dcterms:modified>
</cp:coreProperties>
</file>