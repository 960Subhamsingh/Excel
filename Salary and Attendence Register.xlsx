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23-08-17\Downloads\"/>
    </mc:Choice>
  </mc:AlternateContent>
  <xr:revisionPtr revIDLastSave="0" documentId="12_ncr:500000_{D754BCD9-5E37-4953-920F-5B49C2C35C26}" xr6:coauthVersionLast="31" xr6:coauthVersionMax="31" xr10:uidLastSave="{00000000-0000-0000-0000-000000000000}"/>
  <bookViews>
    <workbookView xWindow="240" yWindow="75" windowWidth="20055" windowHeight="7935" xr2:uid="{00000000-000D-0000-FFFF-FFFF00000000}"/>
  </bookViews>
  <sheets>
    <sheet name="Sheet1" sheetId="1" r:id="rId1"/>
    <sheet name="Sheet2" sheetId="2" r:id="rId2"/>
    <sheet name="Sheet3" sheetId="3" r:id="rId3"/>
  </sheets>
  <calcPr calcId="179016"/>
</workbook>
</file>

<file path=xl/calcChain.xml><?xml version="1.0" encoding="utf-8"?>
<calcChain xmlns="http://schemas.openxmlformats.org/spreadsheetml/2006/main">
  <c r="AM4" i="1" l="1"/>
  <c r="AN4" i="1"/>
  <c r="AP4" i="1"/>
  <c r="AQ4" i="1"/>
  <c r="AR4" i="1"/>
  <c r="AS4" i="1"/>
  <c r="AT4" i="1"/>
  <c r="AU4" i="1"/>
  <c r="AV4" i="1"/>
  <c r="AW4" i="1"/>
  <c r="AM5" i="1"/>
  <c r="AN5" i="1"/>
  <c r="AP5" i="1"/>
  <c r="AQ5" i="1"/>
  <c r="AR5" i="1"/>
  <c r="AS5" i="1"/>
  <c r="AT5" i="1"/>
  <c r="AU5" i="1"/>
  <c r="AV5" i="1"/>
  <c r="AW5" i="1"/>
  <c r="AM6" i="1"/>
  <c r="AN6" i="1"/>
  <c r="AP6" i="1"/>
  <c r="AQ6" i="1"/>
  <c r="AR6" i="1"/>
  <c r="AS6" i="1"/>
  <c r="AT6" i="1"/>
  <c r="AU6" i="1"/>
  <c r="AV6" i="1"/>
  <c r="AW6" i="1"/>
  <c r="AM7" i="1"/>
  <c r="AN7" i="1"/>
  <c r="AP7" i="1"/>
  <c r="AQ7" i="1"/>
  <c r="AR7" i="1"/>
  <c r="AS7" i="1"/>
  <c r="AT7" i="1"/>
  <c r="AU7" i="1"/>
  <c r="AV7" i="1"/>
  <c r="AW7" i="1"/>
  <c r="AM8" i="1"/>
  <c r="AN8" i="1"/>
  <c r="AP8" i="1"/>
  <c r="AQ8" i="1"/>
  <c r="AR8" i="1"/>
  <c r="AS8" i="1"/>
  <c r="AT8" i="1"/>
  <c r="AU8" i="1"/>
  <c r="AV8" i="1"/>
  <c r="AW8" i="1"/>
  <c r="AM9" i="1"/>
  <c r="AN9" i="1"/>
  <c r="AP9" i="1"/>
  <c r="AQ9" i="1"/>
  <c r="AR9" i="1"/>
  <c r="AS9" i="1"/>
  <c r="AT9" i="1"/>
  <c r="AU9" i="1"/>
  <c r="AV9" i="1"/>
  <c r="AW9" i="1"/>
  <c r="AM10" i="1"/>
  <c r="AN10" i="1"/>
  <c r="AP10" i="1"/>
  <c r="AQ10" i="1"/>
  <c r="AR10" i="1"/>
  <c r="AS10" i="1"/>
  <c r="AT10" i="1"/>
  <c r="AU10" i="1"/>
  <c r="AV10" i="1"/>
  <c r="AW10" i="1"/>
  <c r="AM11" i="1"/>
  <c r="AN11" i="1"/>
  <c r="AP11" i="1"/>
  <c r="AQ11" i="1"/>
  <c r="AR11" i="1"/>
  <c r="AS11" i="1"/>
  <c r="AT11" i="1"/>
  <c r="AU11" i="1"/>
  <c r="AV11" i="1"/>
  <c r="AW11" i="1"/>
  <c r="AM12" i="1"/>
  <c r="AN12" i="1"/>
  <c r="AP12" i="1"/>
  <c r="AQ12" i="1"/>
  <c r="AR12" i="1"/>
  <c r="AS12" i="1"/>
  <c r="AT12" i="1"/>
  <c r="AU12" i="1"/>
  <c r="AV12" i="1"/>
  <c r="AW12" i="1"/>
  <c r="AM3" i="1"/>
  <c r="AN3" i="1"/>
  <c r="AP3" i="1"/>
  <c r="AQ3" i="1"/>
  <c r="AR3" i="1"/>
  <c r="AS3" i="1"/>
  <c r="AT3" i="1"/>
  <c r="AU3" i="1"/>
  <c r="AV3" i="1"/>
  <c r="AW3" i="1"/>
  <c r="AO4" i="1"/>
  <c r="AO5" i="1"/>
  <c r="AO6" i="1"/>
  <c r="AO7" i="1"/>
  <c r="AO8" i="1"/>
  <c r="AO9" i="1"/>
  <c r="AO10" i="1"/>
  <c r="AO11" i="1"/>
  <c r="AO12" i="1"/>
  <c r="AO3" i="1"/>
</calcChain>
</file>

<file path=xl/sharedStrings.xml><?xml version="1.0" encoding="utf-8"?>
<sst xmlns="http://schemas.openxmlformats.org/spreadsheetml/2006/main" count="330" uniqueCount="53">
  <si>
    <t>Father's Name</t>
  </si>
  <si>
    <t>SHANKAR PRASAD</t>
  </si>
  <si>
    <t>RAM SINGH</t>
  </si>
  <si>
    <t>SURESH</t>
  </si>
  <si>
    <t>DINESH BORA</t>
  </si>
  <si>
    <t xml:space="preserve">MANOJ </t>
  </si>
  <si>
    <t>MANOHAR MORYA</t>
  </si>
  <si>
    <t>MANOJ MORA</t>
  </si>
  <si>
    <t>MUNNI LAL MORA</t>
  </si>
  <si>
    <t>RAJU KUMAR</t>
  </si>
  <si>
    <t>RAJESH KUMAR</t>
  </si>
  <si>
    <t>PRADEEP</t>
  </si>
  <si>
    <t>PRAMOD SINGH</t>
  </si>
  <si>
    <t xml:space="preserve">MOHAN </t>
  </si>
  <si>
    <t>RAM MOHAN</t>
  </si>
  <si>
    <t xml:space="preserve">AJAY </t>
  </si>
  <si>
    <t>AMAR PRATAP</t>
  </si>
  <si>
    <t>VINOD</t>
  </si>
  <si>
    <t xml:space="preserve">RAMESH </t>
  </si>
  <si>
    <t>DINESH</t>
  </si>
  <si>
    <t>SURESH SINGH</t>
  </si>
  <si>
    <t>Employee 
Name</t>
  </si>
  <si>
    <t>Emp. ID</t>
  </si>
  <si>
    <t>Designation</t>
  </si>
  <si>
    <t xml:space="preserve">Supervisor </t>
  </si>
  <si>
    <t>Accountant</t>
  </si>
  <si>
    <t xml:space="preserve">Labour </t>
  </si>
  <si>
    <t>S.NO</t>
  </si>
  <si>
    <t>DAYS</t>
  </si>
  <si>
    <t>MON</t>
  </si>
  <si>
    <t>TUE</t>
  </si>
  <si>
    <t>WED</t>
  </si>
  <si>
    <t>THU</t>
  </si>
  <si>
    <t>FRI</t>
  </si>
  <si>
    <t>SAT</t>
  </si>
  <si>
    <t>SUN</t>
  </si>
  <si>
    <t>DATE</t>
  </si>
  <si>
    <t>P</t>
  </si>
  <si>
    <t xml:space="preserve">A </t>
  </si>
  <si>
    <t>A</t>
  </si>
  <si>
    <t>H</t>
  </si>
  <si>
    <t>PRESENCE</t>
  </si>
  <si>
    <t>HALF DAY</t>
  </si>
  <si>
    <t>ABSENCE</t>
  </si>
  <si>
    <t>OFF</t>
  </si>
  <si>
    <t>HRA</t>
  </si>
  <si>
    <t>ESI 1.75%</t>
  </si>
  <si>
    <t>IN HAND SALARY</t>
  </si>
  <si>
    <t>TOTAL SALARY</t>
  </si>
  <si>
    <t>TOTAL PAID DAYS</t>
  </si>
  <si>
    <t>PER DAY SALARY</t>
  </si>
  <si>
    <t>GROSS SALARY</t>
  </si>
  <si>
    <t>BASIC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</si>
</sst>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/>
    <xf numFmtId="0" fontId="1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" fontId="1" fillId="0" borderId="1" xfId="0" applyNumberFormat="1" applyFont="1" applyFill="1" applyBorder="1" applyAlignment="1">
      <alignment vertical="center"/>
    </xf>
    <xf numFmtId="1" fontId="1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2"/>
  <sheetViews>
    <sheetView tabSelected="1" topLeftCell="H1" zoomScaleNormal="100" workbookViewId="0">
      <selection activeCell="Q14" sqref="Q14"/>
    </sheetView>
  </sheetViews>
  <sheetFormatPr defaultRowHeight="15" x14ac:dyDescent="0.25"/>
  <cols>
    <col min="1" max="1" width="5.42578125" style="3" bestFit="1" customWidth="1"/>
    <col min="2" max="2" width="17.42578125" style="4" bestFit="1" customWidth="1"/>
    <col min="3" max="3" width="17.85546875" style="4" bestFit="1" customWidth="1"/>
    <col min="4" max="4" width="7.7109375" bestFit="1" customWidth="1"/>
    <col min="5" max="5" width="11.5703125" style="5" bestFit="1" customWidth="1"/>
    <col min="6" max="6" width="5.7109375" bestFit="1" customWidth="1"/>
    <col min="7" max="7" width="5.7109375" style="3" bestFit="1" customWidth="1"/>
    <col min="8" max="8" width="4.42578125" style="3" bestFit="1" customWidth="1"/>
    <col min="9" max="9" width="5.28515625" style="3" bestFit="1" customWidth="1"/>
    <col min="10" max="10" width="4.7109375" style="3" bestFit="1" customWidth="1"/>
    <col min="11" max="11" width="3.7109375" style="3" bestFit="1" customWidth="1"/>
    <col min="12" max="12" width="4.28515625" style="3" bestFit="1" customWidth="1"/>
    <col min="13" max="13" width="4.85546875" style="24" bestFit="1" customWidth="1"/>
    <col min="14" max="14" width="5.7109375" style="3" bestFit="1" customWidth="1"/>
    <col min="15" max="15" width="4.42578125" style="3" bestFit="1" customWidth="1"/>
    <col min="16" max="16" width="5.28515625" style="25" bestFit="1" customWidth="1"/>
    <col min="17" max="17" width="4.7109375" style="25" bestFit="1" customWidth="1"/>
    <col min="18" max="18" width="3.7109375" style="3" bestFit="1" customWidth="1"/>
    <col min="19" max="19" width="4.28515625" style="3" bestFit="1" customWidth="1"/>
    <col min="20" max="20" width="4.85546875" style="24" bestFit="1" customWidth="1"/>
    <col min="21" max="21" width="5.7109375" style="3" bestFit="1" customWidth="1"/>
    <col min="22" max="22" width="4.42578125" style="3" bestFit="1" customWidth="1"/>
    <col min="23" max="23" width="5.28515625" style="3" bestFit="1" customWidth="1"/>
    <col min="24" max="24" width="4.7109375" style="3" bestFit="1" customWidth="1"/>
    <col min="25" max="25" width="3.7109375" style="3" bestFit="1" customWidth="1"/>
    <col min="26" max="26" width="4.28515625" style="3" bestFit="1" customWidth="1"/>
    <col min="27" max="27" width="4.85546875" style="24" bestFit="1" customWidth="1"/>
    <col min="28" max="28" width="5.7109375" style="3" bestFit="1" customWidth="1"/>
    <col min="29" max="29" width="4.42578125" style="3" bestFit="1" customWidth="1"/>
    <col min="30" max="30" width="5.28515625" style="3" bestFit="1" customWidth="1"/>
    <col min="31" max="31" width="4.7109375" style="3" bestFit="1" customWidth="1"/>
    <col min="32" max="32" width="3.7109375" style="3" bestFit="1" customWidth="1"/>
    <col min="33" max="33" width="4.28515625" style="3" bestFit="1" customWidth="1"/>
    <col min="34" max="34" width="4.85546875" style="24" bestFit="1" customWidth="1"/>
    <col min="35" max="35" width="5.7109375" style="3" bestFit="1" customWidth="1"/>
    <col min="36" max="36" width="4.42578125" style="3" bestFit="1" customWidth="1"/>
    <col min="37" max="37" width="5.28515625" style="3" bestFit="1" customWidth="1"/>
    <col min="38" max="38" width="13.42578125" style="3" bestFit="1" customWidth="1"/>
    <col min="39" max="39" width="9.85546875" style="3" bestFit="1" customWidth="1"/>
    <col min="40" max="40" width="9.5703125" style="3" bestFit="1" customWidth="1"/>
    <col min="41" max="41" width="9" style="3" bestFit="1" customWidth="1"/>
    <col min="42" max="42" width="4.42578125" style="3" bestFit="1" customWidth="1"/>
    <col min="43" max="43" width="16.5703125" style="3" bestFit="1" customWidth="1"/>
    <col min="44" max="44" width="15.7109375" style="30" bestFit="1" customWidth="1"/>
    <col min="45" max="45" width="13.85546875" style="30" bestFit="1" customWidth="1"/>
    <col min="46" max="46" width="5" style="30" bestFit="1" customWidth="1"/>
    <col min="47" max="47" width="14.28515625" style="29" bestFit="1" customWidth="1"/>
    <col min="48" max="48" width="9.140625" style="29" bestFit="1" customWidth="1"/>
    <col min="49" max="49" width="16" style="29" bestFit="1" customWidth="1"/>
    <col min="50" max="50" width="9.140625" style="29"/>
  </cols>
  <sheetData>
    <row r="1" spans="1:50" s="10" customFormat="1" x14ac:dyDescent="0.25">
      <c r="A1" s="36" t="s">
        <v>27</v>
      </c>
      <c r="B1" s="33" t="s">
        <v>21</v>
      </c>
      <c r="C1" s="33" t="s">
        <v>0</v>
      </c>
      <c r="D1" s="34" t="s">
        <v>22</v>
      </c>
      <c r="E1" s="35" t="s">
        <v>23</v>
      </c>
      <c r="F1" s="8" t="s">
        <v>28</v>
      </c>
      <c r="G1" s="17" t="s">
        <v>29</v>
      </c>
      <c r="H1" s="17" t="s">
        <v>30</v>
      </c>
      <c r="I1" s="17" t="s">
        <v>31</v>
      </c>
      <c r="J1" s="17" t="s">
        <v>32</v>
      </c>
      <c r="K1" s="17" t="s">
        <v>33</v>
      </c>
      <c r="L1" s="17" t="s">
        <v>34</v>
      </c>
      <c r="M1" s="18" t="s">
        <v>35</v>
      </c>
      <c r="N1" s="17" t="s">
        <v>29</v>
      </c>
      <c r="O1" s="17" t="s">
        <v>30</v>
      </c>
      <c r="P1" s="19" t="s">
        <v>31</v>
      </c>
      <c r="Q1" s="19" t="s">
        <v>32</v>
      </c>
      <c r="R1" s="17" t="s">
        <v>33</v>
      </c>
      <c r="S1" s="17" t="s">
        <v>34</v>
      </c>
      <c r="T1" s="18" t="s">
        <v>35</v>
      </c>
      <c r="U1" s="17" t="s">
        <v>29</v>
      </c>
      <c r="V1" s="17" t="s">
        <v>30</v>
      </c>
      <c r="W1" s="17" t="s">
        <v>31</v>
      </c>
      <c r="X1" s="17" t="s">
        <v>32</v>
      </c>
      <c r="Y1" s="17" t="s">
        <v>33</v>
      </c>
      <c r="Z1" s="17" t="s">
        <v>34</v>
      </c>
      <c r="AA1" s="18" t="s">
        <v>35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8" t="s">
        <v>35</v>
      </c>
      <c r="AI1" s="17" t="s">
        <v>29</v>
      </c>
      <c r="AJ1" s="17" t="s">
        <v>30</v>
      </c>
      <c r="AK1" s="17" t="s">
        <v>31</v>
      </c>
      <c r="AL1" s="39" t="s">
        <v>52</v>
      </c>
      <c r="AM1" s="20"/>
      <c r="AN1" s="20"/>
      <c r="AO1" s="20"/>
      <c r="AP1" s="20"/>
      <c r="AQ1" s="39" t="s">
        <v>49</v>
      </c>
      <c r="AR1" s="39" t="s">
        <v>50</v>
      </c>
      <c r="AS1" s="39" t="s">
        <v>48</v>
      </c>
      <c r="AT1" s="37" t="s">
        <v>45</v>
      </c>
      <c r="AU1" s="39" t="s">
        <v>51</v>
      </c>
      <c r="AV1" s="37" t="s">
        <v>46</v>
      </c>
      <c r="AW1" s="39" t="s">
        <v>47</v>
      </c>
      <c r="AX1" s="27"/>
    </row>
    <row r="2" spans="1:50" s="10" customFormat="1" x14ac:dyDescent="0.25">
      <c r="A2" s="36"/>
      <c r="B2" s="33"/>
      <c r="C2" s="33"/>
      <c r="D2" s="34"/>
      <c r="E2" s="35"/>
      <c r="F2" s="8" t="s">
        <v>36</v>
      </c>
      <c r="G2" s="17">
        <v>1</v>
      </c>
      <c r="H2" s="17">
        <v>2</v>
      </c>
      <c r="I2" s="17">
        <v>3</v>
      </c>
      <c r="J2" s="17">
        <v>4</v>
      </c>
      <c r="K2" s="17">
        <v>5</v>
      </c>
      <c r="L2" s="17">
        <v>6</v>
      </c>
      <c r="M2" s="18">
        <v>7</v>
      </c>
      <c r="N2" s="17">
        <v>8</v>
      </c>
      <c r="O2" s="17">
        <v>9</v>
      </c>
      <c r="P2" s="19">
        <v>10</v>
      </c>
      <c r="Q2" s="19">
        <v>11</v>
      </c>
      <c r="R2" s="17">
        <v>12</v>
      </c>
      <c r="S2" s="17">
        <v>13</v>
      </c>
      <c r="T2" s="18">
        <v>14</v>
      </c>
      <c r="U2" s="17">
        <v>15</v>
      </c>
      <c r="V2" s="17">
        <v>16</v>
      </c>
      <c r="W2" s="17">
        <v>17</v>
      </c>
      <c r="X2" s="17">
        <v>18</v>
      </c>
      <c r="Y2" s="17">
        <v>19</v>
      </c>
      <c r="Z2" s="17">
        <v>20</v>
      </c>
      <c r="AA2" s="18">
        <v>21</v>
      </c>
      <c r="AB2" s="17">
        <v>22</v>
      </c>
      <c r="AC2" s="17">
        <v>23</v>
      </c>
      <c r="AD2" s="17">
        <v>24</v>
      </c>
      <c r="AE2" s="17">
        <v>25</v>
      </c>
      <c r="AF2" s="17">
        <v>26</v>
      </c>
      <c r="AG2" s="17">
        <v>27</v>
      </c>
      <c r="AH2" s="18">
        <v>28</v>
      </c>
      <c r="AI2" s="17">
        <v>29</v>
      </c>
      <c r="AJ2" s="17">
        <v>30</v>
      </c>
      <c r="AK2" s="17">
        <v>31</v>
      </c>
      <c r="AL2" s="38"/>
      <c r="AM2" s="26" t="s">
        <v>41</v>
      </c>
      <c r="AN2" s="26" t="s">
        <v>42</v>
      </c>
      <c r="AO2" s="26" t="s">
        <v>43</v>
      </c>
      <c r="AP2" s="26" t="s">
        <v>44</v>
      </c>
      <c r="AQ2" s="38"/>
      <c r="AR2" s="38"/>
      <c r="AS2" s="38"/>
      <c r="AT2" s="38"/>
      <c r="AU2" s="38"/>
      <c r="AV2" s="38"/>
      <c r="AW2" s="38"/>
      <c r="AX2" s="27"/>
    </row>
    <row r="3" spans="1:50" s="16" customFormat="1" x14ac:dyDescent="0.25">
      <c r="A3" s="11">
        <v>1</v>
      </c>
      <c r="B3" s="12" t="s">
        <v>1</v>
      </c>
      <c r="C3" s="12" t="s">
        <v>2</v>
      </c>
      <c r="D3" s="13">
        <v>12345</v>
      </c>
      <c r="E3" s="14" t="s">
        <v>24</v>
      </c>
      <c r="F3" s="15"/>
      <c r="G3" s="11" t="s">
        <v>37</v>
      </c>
      <c r="H3" s="11" t="s">
        <v>37</v>
      </c>
      <c r="I3" s="11" t="s">
        <v>39</v>
      </c>
      <c r="J3" s="11" t="s">
        <v>40</v>
      </c>
      <c r="K3" s="11" t="s">
        <v>37</v>
      </c>
      <c r="L3" s="11" t="s">
        <v>37</v>
      </c>
      <c r="M3" s="21"/>
      <c r="N3" s="11" t="s">
        <v>37</v>
      </c>
      <c r="O3" s="11" t="s">
        <v>37</v>
      </c>
      <c r="P3" s="22"/>
      <c r="Q3" s="22"/>
      <c r="R3" s="11" t="s">
        <v>37</v>
      </c>
      <c r="S3" s="11" t="s">
        <v>37</v>
      </c>
      <c r="T3" s="18"/>
      <c r="U3" s="11" t="s">
        <v>37</v>
      </c>
      <c r="V3" s="11" t="s">
        <v>37</v>
      </c>
      <c r="W3" s="11" t="s">
        <v>39</v>
      </c>
      <c r="X3" s="11" t="s">
        <v>40</v>
      </c>
      <c r="Y3" s="11" t="s">
        <v>37</v>
      </c>
      <c r="Z3" s="11" t="s">
        <v>37</v>
      </c>
      <c r="AA3" s="18"/>
      <c r="AB3" s="11" t="s">
        <v>37</v>
      </c>
      <c r="AC3" s="11" t="s">
        <v>37</v>
      </c>
      <c r="AD3" s="11" t="s">
        <v>39</v>
      </c>
      <c r="AE3" s="11" t="s">
        <v>40</v>
      </c>
      <c r="AF3" s="11" t="s">
        <v>37</v>
      </c>
      <c r="AG3" s="11" t="s">
        <v>37</v>
      </c>
      <c r="AH3" s="18"/>
      <c r="AI3" s="11" t="s">
        <v>40</v>
      </c>
      <c r="AJ3" s="11" t="s">
        <v>37</v>
      </c>
      <c r="AK3" s="11" t="s">
        <v>37</v>
      </c>
      <c r="AL3" s="23">
        <v>15000</v>
      </c>
      <c r="AM3" s="23">
        <f>COUNTIF(G3:AK3,"P")</f>
        <v>18</v>
      </c>
      <c r="AN3" s="23">
        <f>COUNTIF(G3:AK3,"H")*0.5</f>
        <v>2</v>
      </c>
      <c r="AO3" s="23">
        <f>COUNTIF(G3:AK3,"A")</f>
        <v>3</v>
      </c>
      <c r="AP3" s="23">
        <f>COUNTIF(G3:AK3,"")</f>
        <v>6</v>
      </c>
      <c r="AQ3" s="23">
        <f>AM3+AN3+AP3</f>
        <v>26</v>
      </c>
      <c r="AR3" s="32">
        <f>AL3/31</f>
        <v>483.87096774193549</v>
      </c>
      <c r="AS3" s="32">
        <f>AQ3*AR3</f>
        <v>12580.645161290322</v>
      </c>
      <c r="AT3" s="32">
        <f>IF(AL3&gt;=10000,1500,1000)</f>
        <v>1500</v>
      </c>
      <c r="AU3" s="31">
        <f>AS3+AT3</f>
        <v>14080.645161290322</v>
      </c>
      <c r="AV3" s="31">
        <f>AU3*1.75%</f>
        <v>246.41129032258067</v>
      </c>
      <c r="AW3" s="31">
        <f>AU3-AV3</f>
        <v>13834.233870967741</v>
      </c>
    </row>
    <row r="4" spans="1:50" s="16" customFormat="1" x14ac:dyDescent="0.25">
      <c r="A4" s="11">
        <v>2</v>
      </c>
      <c r="B4" s="12" t="s">
        <v>3</v>
      </c>
      <c r="C4" s="12" t="s">
        <v>4</v>
      </c>
      <c r="D4" s="13">
        <v>12346</v>
      </c>
      <c r="E4" s="14" t="s">
        <v>25</v>
      </c>
      <c r="F4" s="15"/>
      <c r="G4" s="11" t="s">
        <v>37</v>
      </c>
      <c r="H4" s="11" t="s">
        <v>37</v>
      </c>
      <c r="I4" s="11" t="s">
        <v>37</v>
      </c>
      <c r="J4" s="11" t="s">
        <v>37</v>
      </c>
      <c r="K4" s="11" t="s">
        <v>37</v>
      </c>
      <c r="L4" s="11" t="s">
        <v>40</v>
      </c>
      <c r="M4" s="21"/>
      <c r="N4" s="11" t="s">
        <v>37</v>
      </c>
      <c r="O4" s="11" t="s">
        <v>37</v>
      </c>
      <c r="P4" s="22"/>
      <c r="Q4" s="22"/>
      <c r="R4" s="11" t="s">
        <v>37</v>
      </c>
      <c r="S4" s="11" t="s">
        <v>37</v>
      </c>
      <c r="T4" s="18"/>
      <c r="U4" s="11" t="s">
        <v>37</v>
      </c>
      <c r="V4" s="11" t="s">
        <v>37</v>
      </c>
      <c r="W4" s="11" t="s">
        <v>37</v>
      </c>
      <c r="X4" s="11" t="s">
        <v>37</v>
      </c>
      <c r="Y4" s="11" t="s">
        <v>37</v>
      </c>
      <c r="Z4" s="11" t="s">
        <v>40</v>
      </c>
      <c r="AA4" s="18"/>
      <c r="AB4" s="11" t="s">
        <v>37</v>
      </c>
      <c r="AC4" s="11" t="s">
        <v>37</v>
      </c>
      <c r="AD4" s="11" t="s">
        <v>37</v>
      </c>
      <c r="AE4" s="11" t="s">
        <v>37</v>
      </c>
      <c r="AF4" s="11" t="s">
        <v>37</v>
      </c>
      <c r="AG4" s="11" t="s">
        <v>40</v>
      </c>
      <c r="AH4" s="18"/>
      <c r="AI4" s="11" t="s">
        <v>37</v>
      </c>
      <c r="AJ4" s="11" t="s">
        <v>37</v>
      </c>
      <c r="AK4" s="11" t="s">
        <v>40</v>
      </c>
      <c r="AL4" s="23">
        <v>14000</v>
      </c>
      <c r="AM4" s="23">
        <f t="shared" ref="AM4:AM12" si="0">COUNTIF(G4:AK4,"P")</f>
        <v>21</v>
      </c>
      <c r="AN4" s="23">
        <f t="shared" ref="AN4:AN12" si="1">COUNTIF(G4:AK4,"H")*0.5</f>
        <v>2</v>
      </c>
      <c r="AO4" s="23">
        <f t="shared" ref="AO4:AO12" si="2">COUNTIF(G4:AK4,"A")</f>
        <v>0</v>
      </c>
      <c r="AP4" s="23">
        <f t="shared" ref="AP4:AP12" si="3">COUNTIF(G4:AK4,"")</f>
        <v>6</v>
      </c>
      <c r="AQ4" s="23">
        <f t="shared" ref="AQ4:AQ12" si="4">AM4+AN4+AP4</f>
        <v>29</v>
      </c>
      <c r="AR4" s="32">
        <f t="shared" ref="AR4:AR12" si="5">AL4/31</f>
        <v>451.61290322580646</v>
      </c>
      <c r="AS4" s="32">
        <f t="shared" ref="AS4:AS12" si="6">AQ4*AR4</f>
        <v>13096.774193548388</v>
      </c>
      <c r="AT4" s="32">
        <f t="shared" ref="AT4:AT12" si="7">IF(AL4&gt;=10000,1500,1000)</f>
        <v>1500</v>
      </c>
      <c r="AU4" s="31">
        <f t="shared" ref="AU4:AU12" si="8">AS4+AT4</f>
        <v>14596.774193548388</v>
      </c>
      <c r="AV4" s="31">
        <f t="shared" ref="AV4:AV12" si="9">AU4*1.75%</f>
        <v>255.44354838709683</v>
      </c>
      <c r="AW4" s="31">
        <f t="shared" ref="AW4:AW12" si="10">AU4-AV4</f>
        <v>14341.330645161292</v>
      </c>
    </row>
    <row r="5" spans="1:50" x14ac:dyDescent="0.25">
      <c r="A5" s="9">
        <v>3</v>
      </c>
      <c r="B5" s="1" t="s">
        <v>5</v>
      </c>
      <c r="C5" s="1" t="s">
        <v>6</v>
      </c>
      <c r="D5" s="2">
        <v>12347</v>
      </c>
      <c r="E5" s="6" t="s">
        <v>26</v>
      </c>
      <c r="F5" s="7"/>
      <c r="G5" s="9" t="s">
        <v>37</v>
      </c>
      <c r="H5" s="9" t="s">
        <v>37</v>
      </c>
      <c r="I5" s="9" t="s">
        <v>39</v>
      </c>
      <c r="J5" s="9" t="s">
        <v>37</v>
      </c>
      <c r="K5" s="9" t="s">
        <v>37</v>
      </c>
      <c r="L5" s="9" t="s">
        <v>39</v>
      </c>
      <c r="M5" s="21"/>
      <c r="N5" s="9" t="s">
        <v>37</v>
      </c>
      <c r="O5" s="9" t="s">
        <v>37</v>
      </c>
      <c r="P5" s="22"/>
      <c r="Q5" s="22"/>
      <c r="R5" s="9" t="s">
        <v>37</v>
      </c>
      <c r="S5" s="9" t="s">
        <v>37</v>
      </c>
      <c r="T5" s="21"/>
      <c r="U5" s="9" t="s">
        <v>37</v>
      </c>
      <c r="V5" s="9" t="s">
        <v>37</v>
      </c>
      <c r="W5" s="9" t="s">
        <v>39</v>
      </c>
      <c r="X5" s="9" t="s">
        <v>37</v>
      </c>
      <c r="Y5" s="9" t="s">
        <v>37</v>
      </c>
      <c r="Z5" s="9" t="s">
        <v>39</v>
      </c>
      <c r="AA5" s="21"/>
      <c r="AB5" s="9" t="s">
        <v>37</v>
      </c>
      <c r="AC5" s="9" t="s">
        <v>37</v>
      </c>
      <c r="AD5" s="9" t="s">
        <v>39</v>
      </c>
      <c r="AE5" s="9" t="s">
        <v>37</v>
      </c>
      <c r="AF5" s="9" t="s">
        <v>37</v>
      </c>
      <c r="AG5" s="9" t="s">
        <v>39</v>
      </c>
      <c r="AH5" s="21"/>
      <c r="AI5" s="9" t="s">
        <v>37</v>
      </c>
      <c r="AJ5" s="9" t="s">
        <v>37</v>
      </c>
      <c r="AK5" s="9" t="s">
        <v>39</v>
      </c>
      <c r="AL5" s="28">
        <v>12000</v>
      </c>
      <c r="AM5" s="23">
        <f t="shared" si="0"/>
        <v>18</v>
      </c>
      <c r="AN5" s="23">
        <f t="shared" si="1"/>
        <v>0</v>
      </c>
      <c r="AO5" s="23">
        <f t="shared" si="2"/>
        <v>7</v>
      </c>
      <c r="AP5" s="23">
        <f t="shared" si="3"/>
        <v>6</v>
      </c>
      <c r="AQ5" s="23">
        <f t="shared" si="4"/>
        <v>24</v>
      </c>
      <c r="AR5" s="32">
        <f t="shared" si="5"/>
        <v>387.09677419354841</v>
      </c>
      <c r="AS5" s="32">
        <f t="shared" si="6"/>
        <v>9290.3225806451628</v>
      </c>
      <c r="AT5" s="32">
        <f t="shared" si="7"/>
        <v>1500</v>
      </c>
      <c r="AU5" s="31">
        <f t="shared" si="8"/>
        <v>10790.322580645163</v>
      </c>
      <c r="AV5" s="31">
        <f t="shared" si="9"/>
        <v>188.83064516129036</v>
      </c>
      <c r="AW5" s="31">
        <f t="shared" si="10"/>
        <v>10601.491935483873</v>
      </c>
    </row>
    <row r="6" spans="1:50" x14ac:dyDescent="0.25">
      <c r="A6" s="9">
        <v>4</v>
      </c>
      <c r="B6" s="1" t="s">
        <v>7</v>
      </c>
      <c r="C6" s="1" t="s">
        <v>8</v>
      </c>
      <c r="D6" s="2">
        <v>12348</v>
      </c>
      <c r="E6" s="6" t="s">
        <v>26</v>
      </c>
      <c r="F6" s="7"/>
      <c r="G6" s="9" t="s">
        <v>37</v>
      </c>
      <c r="H6" s="9" t="s">
        <v>37</v>
      </c>
      <c r="I6" s="9" t="s">
        <v>37</v>
      </c>
      <c r="J6" s="9" t="s">
        <v>40</v>
      </c>
      <c r="K6" s="9" t="s">
        <v>39</v>
      </c>
      <c r="L6" s="9" t="s">
        <v>37</v>
      </c>
      <c r="M6" s="21"/>
      <c r="N6" s="9" t="s">
        <v>37</v>
      </c>
      <c r="O6" s="9" t="s">
        <v>37</v>
      </c>
      <c r="P6" s="22"/>
      <c r="Q6" s="22"/>
      <c r="R6" s="9" t="s">
        <v>37</v>
      </c>
      <c r="S6" s="9" t="s">
        <v>37</v>
      </c>
      <c r="T6" s="21"/>
      <c r="U6" s="9" t="s">
        <v>37</v>
      </c>
      <c r="V6" s="9" t="s">
        <v>37</v>
      </c>
      <c r="W6" s="9" t="s">
        <v>37</v>
      </c>
      <c r="X6" s="9" t="s">
        <v>40</v>
      </c>
      <c r="Y6" s="9" t="s">
        <v>39</v>
      </c>
      <c r="Z6" s="9" t="s">
        <v>37</v>
      </c>
      <c r="AA6" s="21"/>
      <c r="AB6" s="9" t="s">
        <v>37</v>
      </c>
      <c r="AC6" s="9" t="s">
        <v>37</v>
      </c>
      <c r="AD6" s="9" t="s">
        <v>37</v>
      </c>
      <c r="AE6" s="9" t="s">
        <v>40</v>
      </c>
      <c r="AF6" s="9" t="s">
        <v>39</v>
      </c>
      <c r="AG6" s="9" t="s">
        <v>37</v>
      </c>
      <c r="AH6" s="21"/>
      <c r="AI6" s="9" t="s">
        <v>40</v>
      </c>
      <c r="AJ6" s="9" t="s">
        <v>39</v>
      </c>
      <c r="AK6" s="9" t="s">
        <v>37</v>
      </c>
      <c r="AL6" s="28">
        <v>11000</v>
      </c>
      <c r="AM6" s="23">
        <f t="shared" si="0"/>
        <v>17</v>
      </c>
      <c r="AN6" s="23">
        <f t="shared" si="1"/>
        <v>2</v>
      </c>
      <c r="AO6" s="23">
        <f t="shared" si="2"/>
        <v>4</v>
      </c>
      <c r="AP6" s="23">
        <f t="shared" si="3"/>
        <v>6</v>
      </c>
      <c r="AQ6" s="23">
        <f t="shared" si="4"/>
        <v>25</v>
      </c>
      <c r="AR6" s="32">
        <f t="shared" si="5"/>
        <v>354.83870967741933</v>
      </c>
      <c r="AS6" s="32">
        <f t="shared" si="6"/>
        <v>8870.967741935483</v>
      </c>
      <c r="AT6" s="32">
        <f t="shared" si="7"/>
        <v>1500</v>
      </c>
      <c r="AU6" s="31">
        <f t="shared" si="8"/>
        <v>10370.967741935483</v>
      </c>
      <c r="AV6" s="31">
        <f t="shared" si="9"/>
        <v>181.49193548387098</v>
      </c>
      <c r="AW6" s="31">
        <f t="shared" si="10"/>
        <v>10189.475806451612</v>
      </c>
    </row>
    <row r="7" spans="1:50" x14ac:dyDescent="0.25">
      <c r="A7" s="9">
        <v>5</v>
      </c>
      <c r="B7" s="1" t="s">
        <v>9</v>
      </c>
      <c r="C7" s="1" t="s">
        <v>10</v>
      </c>
      <c r="D7" s="2">
        <v>12349</v>
      </c>
      <c r="E7" s="6" t="s">
        <v>26</v>
      </c>
      <c r="F7" s="7"/>
      <c r="G7" s="9" t="s">
        <v>39</v>
      </c>
      <c r="H7" s="9" t="s">
        <v>37</v>
      </c>
      <c r="I7" s="9" t="s">
        <v>37</v>
      </c>
      <c r="J7" s="9" t="s">
        <v>37</v>
      </c>
      <c r="K7" s="9" t="s">
        <v>37</v>
      </c>
      <c r="L7" s="9" t="s">
        <v>40</v>
      </c>
      <c r="M7" s="21"/>
      <c r="N7" s="9" t="s">
        <v>39</v>
      </c>
      <c r="O7" s="9" t="s">
        <v>37</v>
      </c>
      <c r="P7" s="22"/>
      <c r="Q7" s="22"/>
      <c r="R7" s="9" t="s">
        <v>39</v>
      </c>
      <c r="S7" s="9" t="s">
        <v>37</v>
      </c>
      <c r="T7" s="21"/>
      <c r="U7" s="9" t="s">
        <v>39</v>
      </c>
      <c r="V7" s="9" t="s">
        <v>37</v>
      </c>
      <c r="W7" s="9" t="s">
        <v>37</v>
      </c>
      <c r="X7" s="9" t="s">
        <v>37</v>
      </c>
      <c r="Y7" s="9" t="s">
        <v>37</v>
      </c>
      <c r="Z7" s="9" t="s">
        <v>40</v>
      </c>
      <c r="AA7" s="21"/>
      <c r="AB7" s="9" t="s">
        <v>39</v>
      </c>
      <c r="AC7" s="9" t="s">
        <v>37</v>
      </c>
      <c r="AD7" s="9" t="s">
        <v>37</v>
      </c>
      <c r="AE7" s="9" t="s">
        <v>37</v>
      </c>
      <c r="AF7" s="9" t="s">
        <v>37</v>
      </c>
      <c r="AG7" s="9" t="s">
        <v>40</v>
      </c>
      <c r="AH7" s="21"/>
      <c r="AI7" s="9" t="s">
        <v>37</v>
      </c>
      <c r="AJ7" s="9" t="s">
        <v>37</v>
      </c>
      <c r="AK7" s="9" t="s">
        <v>40</v>
      </c>
      <c r="AL7" s="28">
        <v>10000</v>
      </c>
      <c r="AM7" s="23">
        <f t="shared" si="0"/>
        <v>16</v>
      </c>
      <c r="AN7" s="23">
        <f t="shared" si="1"/>
        <v>2</v>
      </c>
      <c r="AO7" s="23">
        <f t="shared" si="2"/>
        <v>5</v>
      </c>
      <c r="AP7" s="23">
        <f t="shared" si="3"/>
        <v>6</v>
      </c>
      <c r="AQ7" s="23">
        <f t="shared" si="4"/>
        <v>24</v>
      </c>
      <c r="AR7" s="32">
        <f t="shared" si="5"/>
        <v>322.58064516129031</v>
      </c>
      <c r="AS7" s="32">
        <f t="shared" si="6"/>
        <v>7741.9354838709678</v>
      </c>
      <c r="AT7" s="32">
        <f t="shared" si="7"/>
        <v>1500</v>
      </c>
      <c r="AU7" s="31">
        <f t="shared" si="8"/>
        <v>9241.9354838709678</v>
      </c>
      <c r="AV7" s="31">
        <f t="shared" si="9"/>
        <v>161.73387096774195</v>
      </c>
      <c r="AW7" s="31">
        <f t="shared" si="10"/>
        <v>9080.2016129032254</v>
      </c>
    </row>
    <row r="8" spans="1:50" x14ac:dyDescent="0.25">
      <c r="A8" s="9">
        <v>6</v>
      </c>
      <c r="B8" s="1" t="s">
        <v>11</v>
      </c>
      <c r="C8" s="1" t="s">
        <v>12</v>
      </c>
      <c r="D8" s="2">
        <v>12350</v>
      </c>
      <c r="E8" s="6" t="s">
        <v>26</v>
      </c>
      <c r="F8" s="7"/>
      <c r="G8" s="9" t="s">
        <v>37</v>
      </c>
      <c r="H8" s="9" t="s">
        <v>37</v>
      </c>
      <c r="I8" s="9" t="s">
        <v>37</v>
      </c>
      <c r="J8" s="9" t="s">
        <v>37</v>
      </c>
      <c r="K8" s="9" t="s">
        <v>37</v>
      </c>
      <c r="L8" s="9" t="s">
        <v>37</v>
      </c>
      <c r="M8" s="21"/>
      <c r="N8" s="9" t="s">
        <v>37</v>
      </c>
      <c r="O8" s="9" t="s">
        <v>37</v>
      </c>
      <c r="P8" s="22"/>
      <c r="Q8" s="22"/>
      <c r="R8" s="9" t="s">
        <v>37</v>
      </c>
      <c r="S8" s="9" t="s">
        <v>37</v>
      </c>
      <c r="T8" s="21"/>
      <c r="U8" s="9" t="s">
        <v>37</v>
      </c>
      <c r="V8" s="9" t="s">
        <v>37</v>
      </c>
      <c r="W8" s="9" t="s">
        <v>37</v>
      </c>
      <c r="X8" s="9" t="s">
        <v>37</v>
      </c>
      <c r="Y8" s="9" t="s">
        <v>37</v>
      </c>
      <c r="Z8" s="9" t="s">
        <v>37</v>
      </c>
      <c r="AA8" s="21"/>
      <c r="AB8" s="9" t="s">
        <v>37</v>
      </c>
      <c r="AC8" s="9" t="s">
        <v>37</v>
      </c>
      <c r="AD8" s="9" t="s">
        <v>37</v>
      </c>
      <c r="AE8" s="9" t="s">
        <v>37</v>
      </c>
      <c r="AF8" s="9" t="s">
        <v>37</v>
      </c>
      <c r="AG8" s="9" t="s">
        <v>37</v>
      </c>
      <c r="AH8" s="21"/>
      <c r="AI8" s="9" t="s">
        <v>37</v>
      </c>
      <c r="AJ8" s="9" t="s">
        <v>37</v>
      </c>
      <c r="AK8" s="9" t="s">
        <v>37</v>
      </c>
      <c r="AL8" s="28">
        <v>9000</v>
      </c>
      <c r="AM8" s="23">
        <f t="shared" si="0"/>
        <v>25</v>
      </c>
      <c r="AN8" s="23">
        <f t="shared" si="1"/>
        <v>0</v>
      </c>
      <c r="AO8" s="23">
        <f t="shared" si="2"/>
        <v>0</v>
      </c>
      <c r="AP8" s="23">
        <f t="shared" si="3"/>
        <v>6</v>
      </c>
      <c r="AQ8" s="23">
        <f t="shared" si="4"/>
        <v>31</v>
      </c>
      <c r="AR8" s="32">
        <f t="shared" si="5"/>
        <v>290.32258064516128</v>
      </c>
      <c r="AS8" s="32">
        <f t="shared" si="6"/>
        <v>9000</v>
      </c>
      <c r="AT8" s="32">
        <f t="shared" si="7"/>
        <v>1000</v>
      </c>
      <c r="AU8" s="31">
        <f t="shared" si="8"/>
        <v>10000</v>
      </c>
      <c r="AV8" s="31">
        <f t="shared" si="9"/>
        <v>175.00000000000003</v>
      </c>
      <c r="AW8" s="31">
        <f t="shared" si="10"/>
        <v>9825</v>
      </c>
    </row>
    <row r="9" spans="1:50" x14ac:dyDescent="0.25">
      <c r="A9" s="9">
        <v>7</v>
      </c>
      <c r="B9" s="1" t="s">
        <v>13</v>
      </c>
      <c r="C9" s="1" t="s">
        <v>14</v>
      </c>
      <c r="D9" s="2">
        <v>12351</v>
      </c>
      <c r="E9" s="6" t="s">
        <v>26</v>
      </c>
      <c r="F9" s="7"/>
      <c r="G9" s="9" t="s">
        <v>37</v>
      </c>
      <c r="H9" s="9" t="s">
        <v>38</v>
      </c>
      <c r="I9" s="9" t="s">
        <v>37</v>
      </c>
      <c r="J9" s="9" t="s">
        <v>37</v>
      </c>
      <c r="K9" s="9" t="s">
        <v>40</v>
      </c>
      <c r="L9" s="9" t="s">
        <v>39</v>
      </c>
      <c r="M9" s="21"/>
      <c r="N9" s="9" t="s">
        <v>37</v>
      </c>
      <c r="O9" s="9" t="s">
        <v>38</v>
      </c>
      <c r="P9" s="22"/>
      <c r="Q9" s="22"/>
      <c r="R9" s="9" t="s">
        <v>37</v>
      </c>
      <c r="S9" s="9" t="s">
        <v>38</v>
      </c>
      <c r="T9" s="21"/>
      <c r="U9" s="9" t="s">
        <v>37</v>
      </c>
      <c r="V9" s="9" t="s">
        <v>38</v>
      </c>
      <c r="W9" s="9" t="s">
        <v>37</v>
      </c>
      <c r="X9" s="9" t="s">
        <v>37</v>
      </c>
      <c r="Y9" s="9" t="s">
        <v>40</v>
      </c>
      <c r="Z9" s="9" t="s">
        <v>39</v>
      </c>
      <c r="AA9" s="21"/>
      <c r="AB9" s="9" t="s">
        <v>37</v>
      </c>
      <c r="AC9" s="9" t="s">
        <v>38</v>
      </c>
      <c r="AD9" s="9" t="s">
        <v>37</v>
      </c>
      <c r="AE9" s="9" t="s">
        <v>37</v>
      </c>
      <c r="AF9" s="9" t="s">
        <v>40</v>
      </c>
      <c r="AG9" s="9" t="s">
        <v>39</v>
      </c>
      <c r="AH9" s="21"/>
      <c r="AI9" s="9" t="s">
        <v>37</v>
      </c>
      <c r="AJ9" s="9" t="s">
        <v>40</v>
      </c>
      <c r="AK9" s="9" t="s">
        <v>39</v>
      </c>
      <c r="AL9" s="28">
        <v>8000</v>
      </c>
      <c r="AM9" s="23">
        <f t="shared" si="0"/>
        <v>12</v>
      </c>
      <c r="AN9" s="23">
        <f t="shared" si="1"/>
        <v>2</v>
      </c>
      <c r="AO9" s="23">
        <f t="shared" si="2"/>
        <v>4</v>
      </c>
      <c r="AP9" s="23">
        <f t="shared" si="3"/>
        <v>6</v>
      </c>
      <c r="AQ9" s="23">
        <f t="shared" si="4"/>
        <v>20</v>
      </c>
      <c r="AR9" s="32">
        <f t="shared" si="5"/>
        <v>258.06451612903226</v>
      </c>
      <c r="AS9" s="32">
        <f t="shared" si="6"/>
        <v>5161.2903225806449</v>
      </c>
      <c r="AT9" s="32">
        <f t="shared" si="7"/>
        <v>1000</v>
      </c>
      <c r="AU9" s="31">
        <f t="shared" si="8"/>
        <v>6161.2903225806449</v>
      </c>
      <c r="AV9" s="31">
        <f t="shared" si="9"/>
        <v>107.8225806451613</v>
      </c>
      <c r="AW9" s="31">
        <f t="shared" si="10"/>
        <v>6053.4677419354839</v>
      </c>
    </row>
    <row r="10" spans="1:50" x14ac:dyDescent="0.25">
      <c r="A10" s="9">
        <v>8</v>
      </c>
      <c r="B10" s="1" t="s">
        <v>15</v>
      </c>
      <c r="C10" s="1" t="s">
        <v>16</v>
      </c>
      <c r="D10" s="2">
        <v>12352</v>
      </c>
      <c r="E10" s="6" t="s">
        <v>26</v>
      </c>
      <c r="F10" s="7"/>
      <c r="G10" s="9" t="s">
        <v>37</v>
      </c>
      <c r="H10" s="9" t="s">
        <v>38</v>
      </c>
      <c r="I10" s="9" t="s">
        <v>37</v>
      </c>
      <c r="J10" s="9" t="s">
        <v>37</v>
      </c>
      <c r="K10" s="9" t="s">
        <v>39</v>
      </c>
      <c r="L10" s="9" t="s">
        <v>39</v>
      </c>
      <c r="M10" s="21"/>
      <c r="N10" s="9" t="s">
        <v>37</v>
      </c>
      <c r="O10" s="9" t="s">
        <v>38</v>
      </c>
      <c r="P10" s="22"/>
      <c r="Q10" s="22"/>
      <c r="R10" s="9" t="s">
        <v>37</v>
      </c>
      <c r="S10" s="9" t="s">
        <v>38</v>
      </c>
      <c r="T10" s="21"/>
      <c r="U10" s="9" t="s">
        <v>37</v>
      </c>
      <c r="V10" s="9" t="s">
        <v>38</v>
      </c>
      <c r="W10" s="9" t="s">
        <v>37</v>
      </c>
      <c r="X10" s="9" t="s">
        <v>37</v>
      </c>
      <c r="Y10" s="9" t="s">
        <v>39</v>
      </c>
      <c r="Z10" s="9" t="s">
        <v>39</v>
      </c>
      <c r="AA10" s="21"/>
      <c r="AB10" s="9" t="s">
        <v>37</v>
      </c>
      <c r="AC10" s="9" t="s">
        <v>38</v>
      </c>
      <c r="AD10" s="9" t="s">
        <v>37</v>
      </c>
      <c r="AE10" s="9" t="s">
        <v>37</v>
      </c>
      <c r="AF10" s="9" t="s">
        <v>39</v>
      </c>
      <c r="AG10" s="9" t="s">
        <v>39</v>
      </c>
      <c r="AH10" s="21"/>
      <c r="AI10" s="9" t="s">
        <v>37</v>
      </c>
      <c r="AJ10" s="9" t="s">
        <v>39</v>
      </c>
      <c r="AK10" s="9" t="s">
        <v>39</v>
      </c>
      <c r="AL10" s="28">
        <v>9500</v>
      </c>
      <c r="AM10" s="23">
        <f t="shared" si="0"/>
        <v>12</v>
      </c>
      <c r="AN10" s="23">
        <f t="shared" si="1"/>
        <v>0</v>
      </c>
      <c r="AO10" s="23">
        <f t="shared" si="2"/>
        <v>8</v>
      </c>
      <c r="AP10" s="23">
        <f t="shared" si="3"/>
        <v>6</v>
      </c>
      <c r="AQ10" s="23">
        <f t="shared" si="4"/>
        <v>18</v>
      </c>
      <c r="AR10" s="32">
        <f t="shared" si="5"/>
        <v>306.45161290322579</v>
      </c>
      <c r="AS10" s="32">
        <f t="shared" si="6"/>
        <v>5516.1290322580644</v>
      </c>
      <c r="AT10" s="32">
        <f t="shared" si="7"/>
        <v>1000</v>
      </c>
      <c r="AU10" s="31">
        <f t="shared" si="8"/>
        <v>6516.1290322580644</v>
      </c>
      <c r="AV10" s="31">
        <f t="shared" si="9"/>
        <v>114.03225806451614</v>
      </c>
      <c r="AW10" s="31">
        <f t="shared" si="10"/>
        <v>6402.0967741935483</v>
      </c>
    </row>
    <row r="11" spans="1:50" x14ac:dyDescent="0.25">
      <c r="A11" s="9">
        <v>9</v>
      </c>
      <c r="B11" s="1" t="s">
        <v>17</v>
      </c>
      <c r="C11" s="1" t="s">
        <v>18</v>
      </c>
      <c r="D11" s="2">
        <v>12353</v>
      </c>
      <c r="E11" s="6" t="s">
        <v>26</v>
      </c>
      <c r="F11" s="7"/>
      <c r="G11" s="9" t="s">
        <v>37</v>
      </c>
      <c r="H11" s="9" t="s">
        <v>37</v>
      </c>
      <c r="I11" s="9" t="s">
        <v>37</v>
      </c>
      <c r="J11" s="9" t="s">
        <v>37</v>
      </c>
      <c r="K11" s="9" t="s">
        <v>39</v>
      </c>
      <c r="L11" s="9" t="s">
        <v>37</v>
      </c>
      <c r="M11" s="21"/>
      <c r="N11" s="9" t="s">
        <v>37</v>
      </c>
      <c r="O11" s="9" t="s">
        <v>37</v>
      </c>
      <c r="P11" s="22"/>
      <c r="Q11" s="22"/>
      <c r="R11" s="9" t="s">
        <v>37</v>
      </c>
      <c r="S11" s="9" t="s">
        <v>37</v>
      </c>
      <c r="T11" s="21"/>
      <c r="U11" s="9" t="s">
        <v>37</v>
      </c>
      <c r="V11" s="9" t="s">
        <v>37</v>
      </c>
      <c r="W11" s="9" t="s">
        <v>37</v>
      </c>
      <c r="X11" s="9" t="s">
        <v>37</v>
      </c>
      <c r="Y11" s="9" t="s">
        <v>39</v>
      </c>
      <c r="Z11" s="9" t="s">
        <v>37</v>
      </c>
      <c r="AA11" s="21"/>
      <c r="AB11" s="9" t="s">
        <v>37</v>
      </c>
      <c r="AC11" s="9" t="s">
        <v>37</v>
      </c>
      <c r="AD11" s="9" t="s">
        <v>37</v>
      </c>
      <c r="AE11" s="9" t="s">
        <v>37</v>
      </c>
      <c r="AF11" s="9" t="s">
        <v>39</v>
      </c>
      <c r="AG11" s="9" t="s">
        <v>37</v>
      </c>
      <c r="AH11" s="21"/>
      <c r="AI11" s="9" t="s">
        <v>37</v>
      </c>
      <c r="AJ11" s="9" t="s">
        <v>39</v>
      </c>
      <c r="AK11" s="9" t="s">
        <v>37</v>
      </c>
      <c r="AL11" s="28">
        <v>8500</v>
      </c>
      <c r="AM11" s="23">
        <f t="shared" si="0"/>
        <v>21</v>
      </c>
      <c r="AN11" s="23">
        <f t="shared" si="1"/>
        <v>0</v>
      </c>
      <c r="AO11" s="23">
        <f t="shared" si="2"/>
        <v>4</v>
      </c>
      <c r="AP11" s="23">
        <f t="shared" si="3"/>
        <v>6</v>
      </c>
      <c r="AQ11" s="23">
        <f t="shared" si="4"/>
        <v>27</v>
      </c>
      <c r="AR11" s="32">
        <f t="shared" si="5"/>
        <v>274.19354838709677</v>
      </c>
      <c r="AS11" s="32">
        <f t="shared" si="6"/>
        <v>7403.2258064516127</v>
      </c>
      <c r="AT11" s="32">
        <f t="shared" si="7"/>
        <v>1000</v>
      </c>
      <c r="AU11" s="31">
        <f t="shared" si="8"/>
        <v>8403.2258064516136</v>
      </c>
      <c r="AV11" s="31">
        <f t="shared" si="9"/>
        <v>147.05645161290326</v>
      </c>
      <c r="AW11" s="31">
        <f t="shared" si="10"/>
        <v>8256.1693548387102</v>
      </c>
    </row>
    <row r="12" spans="1:50" x14ac:dyDescent="0.25">
      <c r="A12" s="9">
        <v>10</v>
      </c>
      <c r="B12" s="1" t="s">
        <v>19</v>
      </c>
      <c r="C12" s="1" t="s">
        <v>20</v>
      </c>
      <c r="D12" s="2">
        <v>12354</v>
      </c>
      <c r="E12" s="6" t="s">
        <v>26</v>
      </c>
      <c r="F12" s="7"/>
      <c r="G12" s="9" t="s">
        <v>37</v>
      </c>
      <c r="H12" s="9" t="s">
        <v>37</v>
      </c>
      <c r="I12" s="9" t="s">
        <v>37</v>
      </c>
      <c r="J12" s="9" t="s">
        <v>37</v>
      </c>
      <c r="K12" s="9" t="s">
        <v>39</v>
      </c>
      <c r="L12" s="9" t="s">
        <v>37</v>
      </c>
      <c r="M12" s="21"/>
      <c r="N12" s="9" t="s">
        <v>37</v>
      </c>
      <c r="O12" s="9" t="s">
        <v>37</v>
      </c>
      <c r="P12" s="22"/>
      <c r="Q12" s="22"/>
      <c r="R12" s="9" t="s">
        <v>37</v>
      </c>
      <c r="S12" s="9" t="s">
        <v>37</v>
      </c>
      <c r="T12" s="21"/>
      <c r="U12" s="9" t="s">
        <v>37</v>
      </c>
      <c r="V12" s="9" t="s">
        <v>37</v>
      </c>
      <c r="W12" s="9" t="s">
        <v>37</v>
      </c>
      <c r="X12" s="9" t="s">
        <v>37</v>
      </c>
      <c r="Y12" s="9" t="s">
        <v>39</v>
      </c>
      <c r="Z12" s="9" t="s">
        <v>37</v>
      </c>
      <c r="AA12" s="21"/>
      <c r="AB12" s="9" t="s">
        <v>37</v>
      </c>
      <c r="AC12" s="9" t="s">
        <v>37</v>
      </c>
      <c r="AD12" s="9" t="s">
        <v>37</v>
      </c>
      <c r="AE12" s="9" t="s">
        <v>37</v>
      </c>
      <c r="AF12" s="9" t="s">
        <v>39</v>
      </c>
      <c r="AG12" s="9" t="s">
        <v>37</v>
      </c>
      <c r="AH12" s="21"/>
      <c r="AI12" s="9" t="s">
        <v>37</v>
      </c>
      <c r="AJ12" s="9" t="s">
        <v>39</v>
      </c>
      <c r="AK12" s="9" t="s">
        <v>37</v>
      </c>
      <c r="AL12" s="28">
        <v>9500</v>
      </c>
      <c r="AM12" s="23">
        <f t="shared" si="0"/>
        <v>21</v>
      </c>
      <c r="AN12" s="23">
        <f t="shared" si="1"/>
        <v>0</v>
      </c>
      <c r="AO12" s="23">
        <f t="shared" si="2"/>
        <v>4</v>
      </c>
      <c r="AP12" s="23">
        <f t="shared" si="3"/>
        <v>6</v>
      </c>
      <c r="AQ12" s="23">
        <f t="shared" si="4"/>
        <v>27</v>
      </c>
      <c r="AR12" s="32">
        <f t="shared" si="5"/>
        <v>306.45161290322579</v>
      </c>
      <c r="AS12" s="32">
        <f t="shared" si="6"/>
        <v>8274.1935483870966</v>
      </c>
      <c r="AT12" s="32">
        <f t="shared" si="7"/>
        <v>1000</v>
      </c>
      <c r="AU12" s="31">
        <f t="shared" si="8"/>
        <v>9274.1935483870966</v>
      </c>
      <c r="AV12" s="31">
        <f t="shared" si="9"/>
        <v>162.29838709677421</v>
      </c>
      <c r="AW12" s="31">
        <f t="shared" si="10"/>
        <v>9111.895161290322</v>
      </c>
    </row>
  </sheetData>
  <mergeCells count="13">
    <mergeCell ref="AV1:AV2"/>
    <mergeCell ref="AW1:AW2"/>
    <mergeCell ref="AQ1:AQ2"/>
    <mergeCell ref="AL1:AL2"/>
    <mergeCell ref="AR1:AR2"/>
    <mergeCell ref="AS1:AS2"/>
    <mergeCell ref="AT1:AT2"/>
    <mergeCell ref="AU1:AU2"/>
    <mergeCell ref="B1:B2"/>
    <mergeCell ref="C1:C2"/>
    <mergeCell ref="D1:D2"/>
    <mergeCell ref="E1:E2"/>
    <mergeCell ref="A1:A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Chandan</cp:lastModifiedBy>
  <dcterms:created xsi:type="dcterms:W3CDTF">2018-02-25T17:45:44Z</dcterms:created>
  <dcterms:modified xsi:type="dcterms:W3CDTF">2018-04-13T11:50:40Z</dcterms:modified>
</cp:coreProperties>
</file>