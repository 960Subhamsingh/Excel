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20490" windowHeight="7620"/>
  </bookViews>
  <sheets>
    <sheet name="Database" sheetId="1" r:id="rId1"/>
    <sheet name="Searchable Database" sheetId="2" r:id="rId2"/>
    <sheet name="Update Data" sheetId="7" r:id="rId3"/>
    <sheet name="Database that Updates Automatic" sheetId="3" r:id="rId4"/>
    <sheet name="Sheet1" sheetId="11" r:id="rId5"/>
    <sheet name="Relational Database" sheetId="10" r:id="rId6"/>
    <sheet name="Database1" sheetId="8" r:id="rId7"/>
    <sheet name="Database2" sheetId="9" r:id="rId8"/>
  </sheets>
  <definedNames>
    <definedName name="_xlcn.WorksheetConnection_howtocreateadatabaseinexcel.xlsxTable3" hidden="1">Table3[]</definedName>
    <definedName name="_xlcn.WorksheetConnection_howtocreateadatabaseinexcel.xlsxTable4" hidden="1">Table4[]</definedName>
    <definedName name="Dataset1">Table3[#All]</definedName>
    <definedName name="ExternalData_1" localSheetId="4" hidden="1">Sheet1!$B$4:$C$10</definedName>
    <definedName name="Primary">#REF!</definedName>
  </definedNames>
  <calcPr calcId="191029"/>
  <pivotCaches>
    <pivotCache cacheId="1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how-to-create-a-database-in-excel.xlsx!Table4"/>
          <x15:modelTable id="Table3" name="Table3" connection="WorksheetConnection_how-to-create-a-database-in-excel.xlsx!Table3"/>
        </x15:modelTables>
        <x15:modelRelationships>
          <x15:modelRelationship fromTable="Table4" fromColumn="Designation" toTable="Table3" toColumn="Salar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</calcChain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8" minRefreshableVersion="5" saveData="1">
    <dbPr connection="Data Model Connection" command="DRILLTHROUGH MAXROWS 1000 SELECT FROM [Model] WHERE (([Measures].[Sum of Salary],[Table4].[Designation].&amp;[Additional Manager])) RETURN [$Table3].[Employee],[$Table3].[Salary]" commandType="4"/>
    <extLst>
      <ext xmlns:x15="http://schemas.microsoft.com/office/spreadsheetml/2010/11/main" uri="{DE250136-89BD-433C-8126-D09CA5730AF9}">
        <x15:connection id="" model="1"/>
      </ext>
    </extLst>
  </connection>
  <connection id="2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how-to-create-a-database-in-excel.xlsx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howtocreateadatabaseinexcel.xlsxTable3"/>
        </x15:connection>
      </ext>
    </extLst>
  </connection>
  <connection id="4" name="WorksheetConnection_how-to-create-a-database-in-excel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howtocreateadatabaseinexcel.xlsxTable4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<sst xmlns="http://schemas.openxmlformats.org/spreadsheetml/2006/main" count="138" uniqueCount="49">
  <si>
    <t>StdID</t>
  </si>
  <si>
    <t>StdName</t>
  </si>
  <si>
    <t>State</t>
  </si>
  <si>
    <t>Age</t>
  </si>
  <si>
    <t>Department</t>
  </si>
  <si>
    <t>California</t>
  </si>
  <si>
    <t>CSE</t>
  </si>
  <si>
    <t>Texas</t>
  </si>
  <si>
    <t>New York</t>
  </si>
  <si>
    <t>EEE</t>
  </si>
  <si>
    <t>Alabama</t>
  </si>
  <si>
    <t>ETE</t>
  </si>
  <si>
    <t xml:space="preserve">Alex </t>
  </si>
  <si>
    <t xml:space="preserve">William </t>
  </si>
  <si>
    <t>Richardson</t>
  </si>
  <si>
    <t>Kevin</t>
  </si>
  <si>
    <t>Peter</t>
  </si>
  <si>
    <t>Jimmy</t>
  </si>
  <si>
    <t>Arizona</t>
  </si>
  <si>
    <t>Florida</t>
  </si>
  <si>
    <t>ECE</t>
  </si>
  <si>
    <t>ME</t>
  </si>
  <si>
    <t>Database that Updates Automatically</t>
  </si>
  <si>
    <t>Filter</t>
  </si>
  <si>
    <t>Sum of StdID</t>
  </si>
  <si>
    <t>Row Labels</t>
  </si>
  <si>
    <t>Grand Total</t>
  </si>
  <si>
    <t>Sum of Age</t>
  </si>
  <si>
    <t>Employee</t>
  </si>
  <si>
    <t>Salary</t>
  </si>
  <si>
    <t>Database1</t>
  </si>
  <si>
    <t>Designation</t>
  </si>
  <si>
    <t>Helper</t>
  </si>
  <si>
    <t>Mechanic</t>
  </si>
  <si>
    <t>Clerk</t>
  </si>
  <si>
    <t>Assistant Manager</t>
  </si>
  <si>
    <t>General Manager</t>
  </si>
  <si>
    <t>Additional Manager</t>
  </si>
  <si>
    <t>Database2</t>
  </si>
  <si>
    <t>Sum of Salary</t>
  </si>
  <si>
    <t>Column1</t>
  </si>
  <si>
    <t>Table3[Employee]</t>
  </si>
  <si>
    <t>Table3[Salary]</t>
  </si>
  <si>
    <t>William</t>
  </si>
  <si>
    <t>Alex</t>
  </si>
  <si>
    <t>Creating a Database</t>
  </si>
  <si>
    <t>Practice Section</t>
  </si>
  <si>
    <t>Created Relational Database</t>
  </si>
  <si>
    <t xml:space="preserve"> Creating a Searchable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</si>
</sst>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2" borderId="2" applyNumberFormat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2" borderId="3" xfId="2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2" borderId="6" xfId="2" applyFont="1" applyBorder="1" applyAlignment="1">
      <alignment horizontal="center" vertical="center"/>
    </xf>
    <xf numFmtId="0" fontId="4" fillId="2" borderId="10" xfId="2" applyFont="1" applyBorder="1" applyAlignment="1">
      <alignment horizontal="center" vertical="center"/>
    </xf>
    <xf numFmtId="0" fontId="4" fillId="2" borderId="7" xfId="2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5" fillId="0" borderId="0" xfId="0" applyFont="1"/>
    <xf numFmtId="0" fontId="4" fillId="5" borderId="0" xfId="2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0" fillId="0" borderId="3" xfId="0" pivotButton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1" fillId="3" borderId="1" xfId="1" applyFill="1" applyAlignment="1">
      <alignment horizontal="center" vertical="center"/>
    </xf>
  </cellXfs>
  <cellStyles count="3">
    <cellStyle name="Heading 2" xfId="1" builtinId="17"/>
    <cellStyle name="Input 2" xfId="2"/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sus" refreshedDate="44816.707203587961" backgroundQuery="1" createdVersion="8" refreshedVersion="8" minRefreshableVersion="3" recordCount="0" supportSubquery="1" supportAdvancedDrill="1">
  <cacheSource type="external" connectionId="2"/>
  <cacheFields count="2">
    <cacheField name="[Table4].[Designation].[Designation]" caption="Designation" numFmtId="0" hierarchy="3" level="1">
      <sharedItems count="6">
        <s v="Additional Manager"/>
        <s v="Assistant Manager"/>
        <s v="Clerk"/>
        <s v="General Manager"/>
        <s v="Helper"/>
        <s v="Mechanic"/>
      </sharedItems>
    </cacheField>
    <cacheField name="[Measures].[Sum of Salary]" caption="Sum of Salary" numFmtId="0" hierarchy="7" level="32767"/>
  </cacheFields>
  <cacheHierarchies count="8">
    <cacheHierarchy uniqueName="[Table3].[Employee]" caption="Employee" attribute="1" defaultMemberUniqueName="[Table3].[Employee].[All]" allUniqueName="[Table3].[Employee].[All]" dimensionUniqueName="[Table3]" displayFolder="" count="0" memberValueDatatype="130" unbalanced="0"/>
    <cacheHierarchy uniqueName="[Table3].[Salary]" caption="Salary" attribute="1" defaultMemberUniqueName="[Table3].[Salary].[All]" allUniqueName="[Table3].[Salary].[All]" dimensionUniqueName="[Table3]" displayFolder="" count="0" memberValueDatatype="20" unbalanced="0"/>
    <cacheHierarchy uniqueName="[Table4].[Employee]" caption="Employee" attribute="1" defaultMemberUniqueName="[Table4].[Employee].[All]" allUniqueName="[Table4].[Employee].[All]" dimensionUniqueName="[Table4]" displayFolder="" count="0" memberValueDatatype="130" unbalanced="0"/>
    <cacheHierarchy uniqueName="[Table4].[Designation]" caption="Designation" attribute="1" defaultMemberUniqueName="[Table4].[Designation].[All]" allUniqueName="[Table4].[Designation].[All]" dimensionUniqueName="[Table4]" displayFolder="" count="2" memberValueDatatype="130" unbalanced="0">
      <fieldsUsage count="2">
        <fieldUsage x="-1"/>
        <fieldUsage x="0"/>
      </fieldsUsage>
    </cacheHierarchy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Table3" uniqueName="[Table3]" caption="Table3"/>
    <dimension name="Table4" uniqueName="[Table4]" caption="Table4"/>
  </dimensions>
  <measureGroups count="2">
    <measureGroup name="Table3" caption="Table3"/>
    <measureGroup name="Table4" caption="Table4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hp" refreshedDate="45978.814514930556" createdVersion="8" refreshedVersion="6" minRefreshableVersion="3" recordCount="6">
  <cacheSource type="worksheet">
    <worksheetSource ref="B4:F10" sheet="Database that Updates Automatic"/>
  </cacheSource>
  <cacheFields count="5">
    <cacheField name="StdID" numFmtId="0">
      <sharedItems containsSemiMixedTypes="0" containsString="0" containsNumber="1" containsInteger="1" minValue="1510050" maxValue="1510060"/>
    </cacheField>
    <cacheField name="StdName" numFmtId="0">
      <sharedItems count="6">
        <s v="William "/>
        <s v="Richardson"/>
        <s v="Kevin"/>
        <s v="Peter"/>
        <s v="Alex "/>
        <s v="Jimmy"/>
      </sharedItems>
    </cacheField>
    <cacheField name="State" numFmtId="0">
      <sharedItems/>
    </cacheField>
    <cacheField name="Age" numFmtId="0">
      <sharedItems containsSemiMixedTypes="0" containsString="0" containsNumber="1" containsInteger="1" minValue="22" maxValue="25"/>
    </cacheField>
    <cacheField name="Depart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n v="1510050"/>
    <x v="0"/>
    <s v="California"/>
    <n v="23"/>
    <s v="CSE"/>
  </r>
  <r>
    <n v="1510051"/>
    <x v="1"/>
    <s v="Texas"/>
    <n v="25"/>
    <s v="CSE"/>
  </r>
  <r>
    <n v="1510052"/>
    <x v="2"/>
    <s v="New York"/>
    <n v="23"/>
    <s v="EEE"/>
  </r>
  <r>
    <n v="1510053"/>
    <x v="3"/>
    <s v="Alabama"/>
    <n v="24"/>
    <s v="ETE"/>
  </r>
  <r>
    <n v="1510054"/>
    <x v="4"/>
    <s v="Arizona"/>
    <n v="22"/>
    <s v="ECE"/>
  </r>
  <r>
    <n v="1510060"/>
    <x v="5"/>
    <s v="Florida"/>
    <n v="23"/>
    <s v="M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A3:C10" firstHeaderRow="0" firstDataRow="1" firstDataCol="1"/>
  <pivotFields count="5">
    <pivotField dataField="1" showAll="0"/>
    <pivotField axis="axisRow" showAll="0">
      <items count="7">
        <item x="4"/>
        <item x="5"/>
        <item x="2"/>
        <item x="3"/>
        <item x="1"/>
        <item x="0"/>
        <item t="default"/>
      </items>
    </pivotField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dID" fld="0" baseField="0" baseItem="0"/>
    <dataField name="Sum of Ag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4:C11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ary" fld="1" baseField="0" baseItem="0"/>
  </dataFields>
  <formats count="18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Hierarchies count="8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Table3[Employee]" tableColumnId="1"/>
      <queryTableField id="2" name="Table3[Salary]" tableColumnId="2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6" name="Table6" displayName="Table6" ref="B4:F10" totalsRowShown="0" headerRowDxfId="49" dataDxfId="47" headerRowBorderDxfId="48" tableBorderDxfId="46" totalsRowBorderDxfId="45" headerRowCellStyle="Input 2">
  <autoFilter ref="B4:F10"/>
  <tableColumns count="5">
    <tableColumn id="1" name="StdID" dataDxfId="44"/>
    <tableColumn id="2" name="StdName" dataDxfId="43"/>
    <tableColumn id="3" name="State" dataDxfId="42"/>
    <tableColumn id="4" name="Age" dataDxfId="41"/>
    <tableColumn id="5" name="Department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_ExternalData_1" displayName="Table_ExternalData_1" ref="B4:C10" tableType="queryTable" totalsRowShown="0" headerRowDxfId="39" dataDxfId="37" headerRowBorderDxfId="38" tableBorderDxfId="36" totalsRowBorderDxfId="35">
  <autoFilter ref="B4:C10"/>
  <tableColumns count="2">
    <tableColumn id="1" uniqueName="1" name="Table3[Employee]" queryTableFieldId="1" dataDxfId="34"/>
    <tableColumn id="2" uniqueName="2" name="Table3[Salary]" queryTableFieldId="2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4:C10" totalsRowShown="0" headerRowDxfId="14" headerRowBorderDxfId="13" tableBorderDxfId="12" totalsRowBorderDxfId="11">
  <autoFilter ref="B4:C10"/>
  <tableColumns count="2">
    <tableColumn id="1" name="Employee" dataDxfId="10"/>
    <tableColumn id="2" name="Salary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U18:U19" insertRow="1" totalsRowShown="0" headerRowDxfId="8" dataDxfId="7">
  <autoFilter ref="U18:U19"/>
  <tableColumns count="1">
    <tableColumn id="1" name="Column1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B4:C10" totalsRowShown="0" headerRowDxfId="5" headerRowBorderDxfId="4" tableBorderDxfId="3" totalsRowBorderDxfId="2">
  <autoFilter ref="B4:C10"/>
  <tableColumns count="2">
    <tableColumn id="1" name="Employee" dataDxfId="1"/>
    <tableColumn id="2" name="Design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showGridLines="0" tabSelected="1" zoomScale="110" zoomScaleNormal="110" workbookViewId="0">
      <selection activeCell="E6" sqref="E6"/>
    </sheetView>
  </sheetViews>
  <sheetFormatPr defaultColWidth="8.85546875" defaultRowHeight="19.899999999999999" customHeight="1" x14ac:dyDescent="0.25"/>
  <cols>
    <col min="1" max="1" width="4.7109375" style="1" customWidth="1"/>
    <col min="2" max="2" width="10.85546875" style="1" customWidth="1"/>
    <col min="3" max="3" width="13.42578125" style="1" customWidth="1"/>
    <col min="4" max="4" width="12.7109375" style="1" customWidth="1"/>
    <col min="5" max="5" width="7.7109375" style="1" customWidth="1"/>
    <col min="6" max="6" width="16" style="1" customWidth="1"/>
    <col min="7" max="7" width="4.7109375" style="1" customWidth="1"/>
    <col min="8" max="16384" width="8.85546875" style="1"/>
  </cols>
  <sheetData>
    <row r="2" spans="2:7" ht="19.899999999999999" customHeight="1" thickBot="1" x14ac:dyDescent="0.3">
      <c r="B2" s="31" t="s">
        <v>45</v>
      </c>
      <c r="C2" s="31"/>
      <c r="D2" s="31"/>
      <c r="E2" s="31"/>
      <c r="F2" s="31"/>
      <c r="G2"/>
    </row>
    <row r="3" spans="2:7" ht="19.899999999999999" customHeight="1" thickTop="1" x14ac:dyDescent="0.25"/>
    <row r="4" spans="2:7" ht="19.899999999999999" customHeight="1" x14ac:dyDescent="0.25">
      <c r="B4" s="11" t="s">
        <v>0</v>
      </c>
      <c r="C4" s="12" t="s">
        <v>1</v>
      </c>
      <c r="D4" s="12" t="s">
        <v>2</v>
      </c>
      <c r="E4" s="12" t="s">
        <v>3</v>
      </c>
      <c r="F4" s="13" t="s">
        <v>4</v>
      </c>
      <c r="G4" s="20"/>
    </row>
    <row r="5" spans="2:7" ht="19.899999999999999" customHeight="1" x14ac:dyDescent="0.25">
      <c r="B5" s="4">
        <v>1510050</v>
      </c>
      <c r="C5" s="2" t="s">
        <v>13</v>
      </c>
      <c r="D5" s="2" t="s">
        <v>5</v>
      </c>
      <c r="E5" s="2">
        <v>23</v>
      </c>
      <c r="F5" s="5" t="s">
        <v>6</v>
      </c>
      <c r="G5" s="21"/>
    </row>
    <row r="6" spans="2:7" ht="19.899999999999999" customHeight="1" x14ac:dyDescent="0.25">
      <c r="B6" s="4">
        <v>1510051</v>
      </c>
      <c r="C6" s="2" t="s">
        <v>14</v>
      </c>
      <c r="D6" s="2" t="s">
        <v>7</v>
      </c>
      <c r="E6" s="2">
        <v>25</v>
      </c>
      <c r="F6" s="5" t="s">
        <v>6</v>
      </c>
      <c r="G6" s="21"/>
    </row>
    <row r="7" spans="2:7" ht="19.899999999999999" customHeight="1" x14ac:dyDescent="0.25">
      <c r="B7" s="4">
        <v>1510052</v>
      </c>
      <c r="C7" s="2" t="s">
        <v>15</v>
      </c>
      <c r="D7" s="2" t="s">
        <v>8</v>
      </c>
      <c r="E7" s="2">
        <v>23</v>
      </c>
      <c r="F7" s="5" t="s">
        <v>9</v>
      </c>
      <c r="G7" s="21"/>
    </row>
    <row r="8" spans="2:7" ht="19.899999999999999" customHeight="1" x14ac:dyDescent="0.25">
      <c r="B8" s="4">
        <v>1510053</v>
      </c>
      <c r="C8" s="2" t="s">
        <v>16</v>
      </c>
      <c r="D8" s="2" t="s">
        <v>10</v>
      </c>
      <c r="E8" s="2">
        <v>24</v>
      </c>
      <c r="F8" s="5" t="s">
        <v>11</v>
      </c>
      <c r="G8" s="21"/>
    </row>
    <row r="9" spans="2:7" ht="19.899999999999999" customHeight="1" x14ac:dyDescent="0.25">
      <c r="B9" s="4">
        <v>1510054</v>
      </c>
      <c r="C9" s="2" t="s">
        <v>12</v>
      </c>
      <c r="D9" s="2" t="s">
        <v>18</v>
      </c>
      <c r="E9" s="2">
        <v>22</v>
      </c>
      <c r="F9" s="5" t="s">
        <v>20</v>
      </c>
      <c r="G9" s="21"/>
    </row>
    <row r="10" spans="2:7" ht="19.899999999999999" customHeight="1" x14ac:dyDescent="0.25">
      <c r="B10" s="6">
        <v>1510060</v>
      </c>
      <c r="C10" s="14" t="s">
        <v>17</v>
      </c>
      <c r="D10" s="14" t="s">
        <v>19</v>
      </c>
      <c r="E10" s="14">
        <v>23</v>
      </c>
      <c r="F10" s="7" t="s">
        <v>21</v>
      </c>
      <c r="G10" s="21"/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"/>
  <sheetViews>
    <sheetView showGridLines="0" workbookViewId="0">
      <selection activeCell="F6" sqref="F6"/>
    </sheetView>
  </sheetViews>
  <sheetFormatPr defaultColWidth="8.85546875" defaultRowHeight="19.899999999999999" customHeight="1" x14ac:dyDescent="0.25"/>
  <cols>
    <col min="1" max="1" width="4.7109375" style="1" customWidth="1"/>
    <col min="2" max="2" width="11.28515625" style="1" customWidth="1"/>
    <col min="3" max="3" width="12.28515625" style="1" customWidth="1"/>
    <col min="4" max="4" width="13" style="1" customWidth="1"/>
    <col min="5" max="5" width="9.7109375" style="1" customWidth="1"/>
    <col min="6" max="6" width="13.28515625" style="1" customWidth="1"/>
    <col min="7" max="7" width="4.7109375" style="1" customWidth="1"/>
    <col min="8" max="8" width="20.7109375" style="1" customWidth="1"/>
    <col min="9" max="9" width="4.7109375" style="1" customWidth="1"/>
    <col min="10" max="10" width="12.7109375" style="1" customWidth="1"/>
    <col min="11" max="11" width="13.85546875" style="1" customWidth="1"/>
    <col min="12" max="12" width="13.5703125" style="1" customWidth="1"/>
    <col min="13" max="13" width="10.7109375" style="1" customWidth="1"/>
    <col min="14" max="14" width="15" style="1" customWidth="1"/>
    <col min="15" max="15" width="4.7109375" style="1" customWidth="1"/>
    <col min="16" max="16384" width="8.85546875" style="1"/>
  </cols>
  <sheetData>
    <row r="2" spans="2:14" ht="19.899999999999999" customHeight="1" thickBot="1" x14ac:dyDescent="0.3">
      <c r="B2" s="31" t="s">
        <v>48</v>
      </c>
      <c r="C2" s="31"/>
      <c r="D2" s="31"/>
      <c r="E2" s="31"/>
      <c r="F2" s="31"/>
      <c r="J2" s="31" t="s">
        <v>46</v>
      </c>
      <c r="K2" s="31"/>
      <c r="L2" s="31"/>
      <c r="M2" s="31"/>
      <c r="N2" s="31"/>
    </row>
    <row r="3" spans="2:14" ht="19.899999999999999" customHeight="1" thickTop="1" x14ac:dyDescent="0.25"/>
    <row r="4" spans="2:14" ht="19.899999999999999" customHeight="1" x14ac:dyDescent="0.25">
      <c r="B4" s="3" t="s">
        <v>0</v>
      </c>
      <c r="C4" s="3" t="s">
        <v>16</v>
      </c>
      <c r="D4" s="3" t="s">
        <v>2</v>
      </c>
      <c r="E4" s="3" t="s">
        <v>3</v>
      </c>
      <c r="F4" s="3" t="s">
        <v>23</v>
      </c>
      <c r="J4" s="3" t="s">
        <v>0</v>
      </c>
      <c r="K4" s="3" t="s">
        <v>1</v>
      </c>
      <c r="L4" s="3" t="s">
        <v>2</v>
      </c>
      <c r="M4" s="3" t="s">
        <v>3</v>
      </c>
      <c r="N4" s="3" t="s">
        <v>23</v>
      </c>
    </row>
    <row r="5" spans="2:14" ht="19.899999999999999" customHeight="1" x14ac:dyDescent="0.25">
      <c r="B5" s="2">
        <v>1510050</v>
      </c>
      <c r="C5" s="2" t="s">
        <v>13</v>
      </c>
      <c r="D5" s="2" t="s">
        <v>5</v>
      </c>
      <c r="E5" s="2">
        <v>22</v>
      </c>
      <c r="F5" s="2" t="str" cm="1">
        <f t="array" ref="F5">_xlfn._xlws.FILTER(C5:C10,ISNUMBER(SEARCH(Database!C5,C5:C10)),"Not Found")</f>
        <v xml:space="preserve">William </v>
      </c>
      <c r="J5" s="2">
        <v>1510050</v>
      </c>
      <c r="K5" s="2" t="s">
        <v>13</v>
      </c>
      <c r="L5" s="2" t="s">
        <v>5</v>
      </c>
      <c r="M5" s="2">
        <v>22</v>
      </c>
      <c r="N5" s="2"/>
    </row>
    <row r="6" spans="2:14" ht="19.899999999999999" customHeight="1" x14ac:dyDescent="0.25">
      <c r="B6" s="2">
        <v>1510051</v>
      </c>
      <c r="C6" s="2" t="s">
        <v>14</v>
      </c>
      <c r="D6" s="2" t="s">
        <v>7</v>
      </c>
      <c r="E6" s="2">
        <v>25</v>
      </c>
      <c r="F6" s="2" t="str" cm="1">
        <f t="array" ref="F6">_xlfn._xlws.FILTER(C6:C11,ISNUMBER(SEARCH(Database!C6,C6:C11)),"Not Found")</f>
        <v>Richardson</v>
      </c>
      <c r="J6" s="2">
        <v>1510051</v>
      </c>
      <c r="K6" s="2" t="s">
        <v>14</v>
      </c>
      <c r="L6" s="2" t="s">
        <v>7</v>
      </c>
      <c r="M6" s="2">
        <v>25</v>
      </c>
      <c r="N6" s="2"/>
    </row>
    <row r="7" spans="2:14" ht="19.899999999999999" customHeight="1" x14ac:dyDescent="0.25">
      <c r="B7" s="2">
        <v>1510052</v>
      </c>
      <c r="C7" s="2" t="s">
        <v>15</v>
      </c>
      <c r="D7" s="2" t="s">
        <v>8</v>
      </c>
      <c r="E7" s="2">
        <v>23</v>
      </c>
      <c r="F7" s="2" t="str" cm="1">
        <f t="array" ref="F7">_xlfn._xlws.FILTER(C7:C12,ISNUMBER(SEARCH(Database!C7,C7:C12)),"Not Found")</f>
        <v>Kevin</v>
      </c>
      <c r="J7" s="2">
        <v>1510052</v>
      </c>
      <c r="K7" s="2" t="s">
        <v>15</v>
      </c>
      <c r="L7" s="2" t="s">
        <v>8</v>
      </c>
      <c r="M7" s="2">
        <v>23</v>
      </c>
      <c r="N7" s="2"/>
    </row>
    <row r="8" spans="2:14" ht="19.899999999999999" customHeight="1" x14ac:dyDescent="0.25">
      <c r="B8" s="2">
        <v>1510053</v>
      </c>
      <c r="C8" s="2" t="s">
        <v>16</v>
      </c>
      <c r="D8" s="2" t="s">
        <v>10</v>
      </c>
      <c r="E8" s="2">
        <v>24</v>
      </c>
      <c r="F8" s="2" t="str" cm="1">
        <f t="array" ref="F8">_xlfn._xlws.FILTER(C8:C13,ISNUMBER(SEARCH(Database!C8,C8:C13)),"Not Found")</f>
        <v>Peter</v>
      </c>
      <c r="J8" s="2">
        <v>1510053</v>
      </c>
      <c r="K8" s="2" t="s">
        <v>16</v>
      </c>
      <c r="L8" s="2" t="s">
        <v>10</v>
      </c>
      <c r="M8" s="2">
        <v>24</v>
      </c>
      <c r="N8" s="2"/>
    </row>
    <row r="9" spans="2:14" ht="19.899999999999999" customHeight="1" x14ac:dyDescent="0.25">
      <c r="B9" s="2">
        <v>1510054</v>
      </c>
      <c r="C9" s="2" t="s">
        <v>12</v>
      </c>
      <c r="D9" s="2" t="s">
        <v>18</v>
      </c>
      <c r="E9" s="2">
        <v>22</v>
      </c>
      <c r="F9" s="2" t="str" cm="1">
        <f t="array" ref="F9">_xlfn._xlws.FILTER(C9:C14,ISNUMBER(SEARCH(Database!C9,C9:C14)),"Not Found")</f>
        <v xml:space="preserve">Alex </v>
      </c>
      <c r="J9" s="2">
        <v>1510054</v>
      </c>
      <c r="K9" s="2" t="s">
        <v>12</v>
      </c>
      <c r="L9" s="2" t="s">
        <v>18</v>
      </c>
      <c r="M9" s="2">
        <v>22</v>
      </c>
      <c r="N9" s="2"/>
    </row>
    <row r="10" spans="2:14" ht="19.899999999999999" customHeight="1" x14ac:dyDescent="0.25">
      <c r="B10" s="2">
        <v>1510060</v>
      </c>
      <c r="C10" s="2" t="s">
        <v>17</v>
      </c>
      <c r="D10" s="2" t="s">
        <v>19</v>
      </c>
      <c r="E10" s="2">
        <v>23</v>
      </c>
      <c r="F10" s="2" t="str" cm="1">
        <f t="array" ref="F10">_xlfn._xlws.FILTER(C10:C15,ISNUMBER(SEARCH(Database!C10,C10:C15)),"Not Found")</f>
        <v>Jimmy</v>
      </c>
      <c r="J10" s="2">
        <v>1510060</v>
      </c>
      <c r="K10" s="2" t="s">
        <v>17</v>
      </c>
      <c r="L10" s="2" t="s">
        <v>19</v>
      </c>
      <c r="M10" s="2">
        <v>23</v>
      </c>
      <c r="N10" s="2"/>
    </row>
  </sheetData>
  <mergeCells count="2">
    <mergeCell ref="B2:F2"/>
    <mergeCell ref="J2:N2"/>
  </mergeCells>
  <dataValidations count="1">
    <dataValidation type="list" allowBlank="1" showInputMessage="1" sqref="C4 K4">
      <formula1>_xlfn.ANCHORARRAY($F$5)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showGridLines="0" workbookViewId="0">
      <selection activeCell="C6" sqref="C6"/>
    </sheetView>
  </sheetViews>
  <sheetFormatPr defaultRowHeight="15" x14ac:dyDescent="0.25"/>
  <cols>
    <col min="1" max="1" width="13.140625" bestFit="1" customWidth="1"/>
    <col min="2" max="2" width="12.28515625" bestFit="1" customWidth="1"/>
    <col min="3" max="3" width="11" bestFit="1" customWidth="1"/>
  </cols>
  <sheetData>
    <row r="3" spans="1:3" x14ac:dyDescent="0.25">
      <c r="A3" s="8" t="s">
        <v>25</v>
      </c>
      <c r="B3" t="s">
        <v>24</v>
      </c>
      <c r="C3" t="s">
        <v>27</v>
      </c>
    </row>
    <row r="4" spans="1:3" x14ac:dyDescent="0.25">
      <c r="A4" s="9" t="s">
        <v>12</v>
      </c>
      <c r="B4" s="10">
        <v>1510054</v>
      </c>
      <c r="C4" s="10">
        <v>22</v>
      </c>
    </row>
    <row r="5" spans="1:3" x14ac:dyDescent="0.25">
      <c r="A5" s="9" t="s">
        <v>17</v>
      </c>
      <c r="B5" s="10">
        <v>1510060</v>
      </c>
      <c r="C5" s="10">
        <v>23</v>
      </c>
    </row>
    <row r="6" spans="1:3" x14ac:dyDescent="0.25">
      <c r="A6" s="9" t="s">
        <v>15</v>
      </c>
      <c r="B6" s="10">
        <v>1510052</v>
      </c>
      <c r="C6" s="10">
        <v>23</v>
      </c>
    </row>
    <row r="7" spans="1:3" x14ac:dyDescent="0.25">
      <c r="A7" s="9" t="s">
        <v>16</v>
      </c>
      <c r="B7" s="10">
        <v>1510053</v>
      </c>
      <c r="C7" s="10">
        <v>24</v>
      </c>
    </row>
    <row r="8" spans="1:3" x14ac:dyDescent="0.25">
      <c r="A8" s="9" t="s">
        <v>14</v>
      </c>
      <c r="B8" s="10">
        <v>1510051</v>
      </c>
      <c r="C8" s="10">
        <v>25</v>
      </c>
    </row>
    <row r="9" spans="1:3" x14ac:dyDescent="0.25">
      <c r="A9" s="9" t="s">
        <v>13</v>
      </c>
      <c r="B9" s="10">
        <v>1510050</v>
      </c>
      <c r="C9" s="10">
        <v>23</v>
      </c>
    </row>
    <row r="10" spans="1:3" x14ac:dyDescent="0.25">
      <c r="A10" s="9" t="s">
        <v>26</v>
      </c>
      <c r="B10" s="10">
        <v>9060320</v>
      </c>
      <c r="C10" s="10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showGridLines="0" workbookViewId="0">
      <selection activeCell="C8" sqref="C8"/>
    </sheetView>
  </sheetViews>
  <sheetFormatPr defaultColWidth="8.85546875" defaultRowHeight="19.899999999999999" customHeight="1" x14ac:dyDescent="0.25"/>
  <cols>
    <col min="1" max="1" width="4.7109375" style="1" customWidth="1"/>
    <col min="2" max="2" width="11.85546875" style="1" customWidth="1"/>
    <col min="3" max="3" width="14.7109375" style="1" customWidth="1"/>
    <col min="4" max="4" width="14" style="1" customWidth="1"/>
    <col min="5" max="5" width="10.5703125" style="1" customWidth="1"/>
    <col min="6" max="6" width="14" style="1" customWidth="1"/>
    <col min="7" max="7" width="4.7109375" style="1" customWidth="1"/>
    <col min="8" max="16384" width="8.85546875" style="1"/>
  </cols>
  <sheetData>
    <row r="2" spans="2:6" ht="19.899999999999999" customHeight="1" thickBot="1" x14ac:dyDescent="0.3">
      <c r="B2" s="31" t="s">
        <v>22</v>
      </c>
      <c r="C2" s="31"/>
      <c r="D2" s="31"/>
      <c r="E2" s="31"/>
      <c r="F2" s="31"/>
    </row>
    <row r="3" spans="2:6" ht="19.899999999999999" customHeight="1" thickTop="1" x14ac:dyDescent="0.25"/>
    <row r="4" spans="2:6" ht="19.899999999999999" customHeight="1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</row>
    <row r="5" spans="2:6" ht="19.899999999999999" customHeight="1" x14ac:dyDescent="0.25">
      <c r="B5" s="2">
        <v>1510050</v>
      </c>
      <c r="C5" s="2" t="s">
        <v>13</v>
      </c>
      <c r="D5" s="2" t="s">
        <v>5</v>
      </c>
      <c r="E5" s="2">
        <v>23</v>
      </c>
      <c r="F5" s="2" t="s">
        <v>6</v>
      </c>
    </row>
    <row r="6" spans="2:6" ht="19.899999999999999" customHeight="1" x14ac:dyDescent="0.25">
      <c r="B6" s="2">
        <v>1510051</v>
      </c>
      <c r="C6" s="2" t="s">
        <v>14</v>
      </c>
      <c r="D6" s="2" t="s">
        <v>7</v>
      </c>
      <c r="E6" s="2">
        <v>25</v>
      </c>
      <c r="F6" s="2" t="s">
        <v>6</v>
      </c>
    </row>
    <row r="7" spans="2:6" ht="19.899999999999999" customHeight="1" x14ac:dyDescent="0.25">
      <c r="B7" s="2">
        <v>1510052</v>
      </c>
      <c r="C7" s="2" t="s">
        <v>15</v>
      </c>
      <c r="D7" s="2" t="s">
        <v>8</v>
      </c>
      <c r="E7" s="2">
        <v>23</v>
      </c>
      <c r="F7" s="2" t="s">
        <v>9</v>
      </c>
    </row>
    <row r="8" spans="2:6" ht="19.899999999999999" customHeight="1" x14ac:dyDescent="0.25">
      <c r="B8" s="2">
        <v>1510053</v>
      </c>
      <c r="C8" s="2" t="s">
        <v>16</v>
      </c>
      <c r="D8" s="2" t="s">
        <v>10</v>
      </c>
      <c r="E8" s="2">
        <v>24</v>
      </c>
      <c r="F8" s="2" t="s">
        <v>11</v>
      </c>
    </row>
    <row r="9" spans="2:6" ht="19.899999999999999" customHeight="1" x14ac:dyDescent="0.25">
      <c r="B9" s="2">
        <v>1510054</v>
      </c>
      <c r="C9" s="2" t="s">
        <v>12</v>
      </c>
      <c r="D9" s="2" t="s">
        <v>18</v>
      </c>
      <c r="E9" s="2">
        <v>22</v>
      </c>
      <c r="F9" s="2" t="s">
        <v>20</v>
      </c>
    </row>
    <row r="10" spans="2:6" ht="19.899999999999999" customHeight="1" x14ac:dyDescent="0.25">
      <c r="B10" s="2">
        <v>1510060</v>
      </c>
      <c r="C10" s="2" t="s">
        <v>17</v>
      </c>
      <c r="D10" s="2" t="s">
        <v>19</v>
      </c>
      <c r="E10" s="2">
        <v>23</v>
      </c>
      <c r="F10" s="2" t="s">
        <v>21</v>
      </c>
    </row>
  </sheetData>
  <mergeCells count="1"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workbookViewId="0">
      <selection activeCell="C9" sqref="C9"/>
    </sheetView>
  </sheetViews>
  <sheetFormatPr defaultRowHeight="19.899999999999999" customHeight="1" x14ac:dyDescent="0.25"/>
  <cols>
    <col min="1" max="1" width="4.7109375" customWidth="1"/>
    <col min="2" max="2" width="20.7109375" customWidth="1"/>
    <col min="3" max="3" width="17.85546875" customWidth="1"/>
    <col min="4" max="4" width="4.7109375" customWidth="1"/>
  </cols>
  <sheetData>
    <row r="1" spans="1:3" ht="19.899999999999999" customHeight="1" x14ac:dyDescent="0.25">
      <c r="A1" s="19"/>
    </row>
    <row r="2" spans="1:3" ht="19.899999999999999" customHeight="1" thickBot="1" x14ac:dyDescent="0.3">
      <c r="B2" s="31" t="s">
        <v>47</v>
      </c>
      <c r="C2" s="31"/>
    </row>
    <row r="3" spans="1:3" ht="19.899999999999999" customHeight="1" thickTop="1" x14ac:dyDescent="0.25"/>
    <row r="4" spans="1:3" ht="19.899999999999999" customHeight="1" x14ac:dyDescent="0.25">
      <c r="B4" s="24" t="s">
        <v>41</v>
      </c>
      <c r="C4" s="25" t="s">
        <v>42</v>
      </c>
    </row>
    <row r="5" spans="1:3" ht="19.899999999999999" customHeight="1" x14ac:dyDescent="0.25">
      <c r="B5" s="26" t="s">
        <v>43</v>
      </c>
      <c r="C5" s="27">
        <v>25000</v>
      </c>
    </row>
    <row r="6" spans="1:3" ht="19.899999999999999" customHeight="1" x14ac:dyDescent="0.25">
      <c r="B6" s="26" t="s">
        <v>14</v>
      </c>
      <c r="C6" s="27">
        <v>15000</v>
      </c>
    </row>
    <row r="7" spans="1:3" ht="19.899999999999999" customHeight="1" x14ac:dyDescent="0.25">
      <c r="B7" s="26" t="s">
        <v>15</v>
      </c>
      <c r="C7" s="27">
        <v>22000</v>
      </c>
    </row>
    <row r="8" spans="1:3" ht="19.899999999999999" customHeight="1" x14ac:dyDescent="0.25">
      <c r="B8" s="26" t="s">
        <v>16</v>
      </c>
      <c r="C8" s="27">
        <v>32000</v>
      </c>
    </row>
    <row r="9" spans="1:3" ht="19.899999999999999" customHeight="1" x14ac:dyDescent="0.25">
      <c r="B9" s="26" t="s">
        <v>44</v>
      </c>
      <c r="C9" s="27">
        <v>35000</v>
      </c>
    </row>
    <row r="10" spans="1:3" ht="19.899999999999999" customHeight="1" x14ac:dyDescent="0.25">
      <c r="B10" s="28" t="s">
        <v>17</v>
      </c>
      <c r="C10" s="29">
        <v>27000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showGridLines="0" workbookViewId="0">
      <selection activeCell="B4" sqref="B4"/>
    </sheetView>
  </sheetViews>
  <sheetFormatPr defaultColWidth="18.42578125" defaultRowHeight="19.899999999999999" customHeight="1" x14ac:dyDescent="0.25"/>
  <cols>
    <col min="1" max="1" width="4.7109375" customWidth="1"/>
    <col min="2" max="2" width="17" bestFit="1" customWidth="1"/>
    <col min="3" max="3" width="19" customWidth="1"/>
    <col min="4" max="4" width="4.7109375" customWidth="1"/>
  </cols>
  <sheetData>
    <row r="2" spans="2:3" ht="19.899999999999999" customHeight="1" thickBot="1" x14ac:dyDescent="0.3">
      <c r="B2" s="31" t="s">
        <v>47</v>
      </c>
      <c r="C2" s="31"/>
    </row>
    <row r="3" spans="2:3" ht="19.899999999999999" customHeight="1" thickTop="1" x14ac:dyDescent="0.25"/>
    <row r="4" spans="2:3" ht="19.899999999999999" customHeight="1" x14ac:dyDescent="0.25">
      <c r="B4" s="22" t="s">
        <v>25</v>
      </c>
      <c r="C4" s="23" t="s">
        <v>39</v>
      </c>
    </row>
    <row r="5" spans="2:3" ht="19.899999999999999" customHeight="1" x14ac:dyDescent="0.25">
      <c r="B5" s="23" t="s">
        <v>37</v>
      </c>
      <c r="C5" s="30">
        <v>156000</v>
      </c>
    </row>
    <row r="6" spans="2:3" ht="19.899999999999999" customHeight="1" x14ac:dyDescent="0.25">
      <c r="B6" s="23" t="s">
        <v>35</v>
      </c>
      <c r="C6" s="30">
        <v>156000</v>
      </c>
    </row>
    <row r="7" spans="2:3" ht="19.899999999999999" customHeight="1" x14ac:dyDescent="0.25">
      <c r="B7" s="23" t="s">
        <v>34</v>
      </c>
      <c r="C7" s="30">
        <v>156000</v>
      </c>
    </row>
    <row r="8" spans="2:3" ht="19.899999999999999" customHeight="1" x14ac:dyDescent="0.25">
      <c r="B8" s="23" t="s">
        <v>36</v>
      </c>
      <c r="C8" s="30">
        <v>156000</v>
      </c>
    </row>
    <row r="9" spans="2:3" ht="19.899999999999999" customHeight="1" x14ac:dyDescent="0.25">
      <c r="B9" s="23" t="s">
        <v>32</v>
      </c>
      <c r="C9" s="30">
        <v>156000</v>
      </c>
    </row>
    <row r="10" spans="2:3" ht="19.899999999999999" customHeight="1" x14ac:dyDescent="0.25">
      <c r="B10" s="23" t="s">
        <v>33</v>
      </c>
      <c r="C10" s="30">
        <v>156000</v>
      </c>
    </row>
    <row r="11" spans="2:3" ht="19.899999999999999" customHeight="1" x14ac:dyDescent="0.25">
      <c r="B11" s="23" t="s">
        <v>26</v>
      </c>
      <c r="C11" s="30">
        <v>156000</v>
      </c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8"/>
  <sheetViews>
    <sheetView showGridLines="0" workbookViewId="0">
      <selection activeCell="U18" sqref="U18:U19"/>
    </sheetView>
  </sheetViews>
  <sheetFormatPr defaultColWidth="8.85546875" defaultRowHeight="19.899999999999999" customHeight="1" x14ac:dyDescent="0.25"/>
  <cols>
    <col min="1" max="1" width="4.7109375" style="1" customWidth="1"/>
    <col min="2" max="2" width="14.7109375" style="1" customWidth="1"/>
    <col min="3" max="3" width="17.7109375" style="1" customWidth="1"/>
    <col min="4" max="4" width="4.7109375" style="1" customWidth="1"/>
    <col min="5" max="20" width="8.85546875" style="1"/>
    <col min="21" max="21" width="11.28515625" style="1" customWidth="1"/>
    <col min="22" max="16384" width="8.85546875" style="1"/>
  </cols>
  <sheetData>
    <row r="2" spans="2:3" ht="19.899999999999999" customHeight="1" thickBot="1" x14ac:dyDescent="0.3">
      <c r="B2" s="31" t="s">
        <v>30</v>
      </c>
      <c r="C2" s="31"/>
    </row>
    <row r="3" spans="2:3" ht="19.899999999999999" customHeight="1" thickTop="1" x14ac:dyDescent="0.25"/>
    <row r="4" spans="2:3" ht="19.899999999999999" customHeight="1" x14ac:dyDescent="0.25">
      <c r="B4" s="17" t="s">
        <v>28</v>
      </c>
      <c r="C4" s="18" t="s">
        <v>29</v>
      </c>
    </row>
    <row r="5" spans="2:3" ht="19.899999999999999" customHeight="1" x14ac:dyDescent="0.25">
      <c r="B5" s="4" t="s">
        <v>13</v>
      </c>
      <c r="C5" s="5">
        <v>25000</v>
      </c>
    </row>
    <row r="6" spans="2:3" ht="19.899999999999999" customHeight="1" x14ac:dyDescent="0.25">
      <c r="B6" s="4" t="s">
        <v>14</v>
      </c>
      <c r="C6" s="5">
        <v>15000</v>
      </c>
    </row>
    <row r="7" spans="2:3" ht="19.899999999999999" customHeight="1" x14ac:dyDescent="0.25">
      <c r="B7" s="4" t="s">
        <v>15</v>
      </c>
      <c r="C7" s="5">
        <v>22000</v>
      </c>
    </row>
    <row r="8" spans="2:3" ht="19.899999999999999" customHeight="1" x14ac:dyDescent="0.25">
      <c r="B8" s="4" t="s">
        <v>16</v>
      </c>
      <c r="C8" s="5">
        <v>32000</v>
      </c>
    </row>
    <row r="9" spans="2:3" ht="19.899999999999999" customHeight="1" x14ac:dyDescent="0.25">
      <c r="B9" s="4" t="s">
        <v>12</v>
      </c>
      <c r="C9" s="5">
        <v>35000</v>
      </c>
    </row>
    <row r="10" spans="2:3" ht="19.899999999999999" customHeight="1" x14ac:dyDescent="0.25">
      <c r="B10" s="6" t="s">
        <v>17</v>
      </c>
      <c r="C10" s="7">
        <v>27000</v>
      </c>
    </row>
    <row r="18" spans="21:21" ht="19.899999999999999" customHeight="1" x14ac:dyDescent="0.25">
      <c r="U18" s="1" t="s">
        <v>40</v>
      </c>
    </row>
  </sheetData>
  <mergeCells count="1">
    <mergeCell ref="B2:C2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showGridLines="0" workbookViewId="0">
      <selection activeCell="V19" sqref="V19"/>
    </sheetView>
  </sheetViews>
  <sheetFormatPr defaultColWidth="8.85546875" defaultRowHeight="19.899999999999999" customHeight="1" x14ac:dyDescent="0.25"/>
  <cols>
    <col min="1" max="1" width="4.7109375" style="1" customWidth="1"/>
    <col min="2" max="2" width="12.7109375" style="1" customWidth="1"/>
    <col min="3" max="3" width="24" style="1" customWidth="1"/>
    <col min="4" max="4" width="4.7109375" style="1" customWidth="1"/>
    <col min="5" max="16384" width="8.85546875" style="1"/>
  </cols>
  <sheetData>
    <row r="2" spans="2:3" ht="19.899999999999999" customHeight="1" thickBot="1" x14ac:dyDescent="0.3">
      <c r="B2" s="31" t="s">
        <v>38</v>
      </c>
      <c r="C2" s="31"/>
    </row>
    <row r="3" spans="2:3" ht="19.899999999999999" customHeight="1" thickTop="1" x14ac:dyDescent="0.25"/>
    <row r="4" spans="2:3" ht="19.899999999999999" customHeight="1" x14ac:dyDescent="0.25">
      <c r="B4" s="15" t="s">
        <v>28</v>
      </c>
      <c r="C4" s="16" t="s">
        <v>31</v>
      </c>
    </row>
    <row r="5" spans="2:3" ht="19.899999999999999" customHeight="1" x14ac:dyDescent="0.25">
      <c r="B5" s="4" t="s">
        <v>13</v>
      </c>
      <c r="C5" s="5" t="s">
        <v>34</v>
      </c>
    </row>
    <row r="6" spans="2:3" ht="19.899999999999999" customHeight="1" x14ac:dyDescent="0.25">
      <c r="B6" s="4" t="s">
        <v>14</v>
      </c>
      <c r="C6" s="5" t="s">
        <v>32</v>
      </c>
    </row>
    <row r="7" spans="2:3" ht="19.899999999999999" customHeight="1" x14ac:dyDescent="0.25">
      <c r="B7" s="4" t="s">
        <v>15</v>
      </c>
      <c r="C7" s="5" t="s">
        <v>33</v>
      </c>
    </row>
    <row r="8" spans="2:3" ht="19.899999999999999" customHeight="1" x14ac:dyDescent="0.25">
      <c r="B8" s="4" t="s">
        <v>16</v>
      </c>
      <c r="C8" s="5" t="s">
        <v>35</v>
      </c>
    </row>
    <row r="9" spans="2:3" ht="19.899999999999999" customHeight="1" x14ac:dyDescent="0.25">
      <c r="B9" s="4" t="s">
        <v>12</v>
      </c>
      <c r="C9" s="5" t="s">
        <v>36</v>
      </c>
    </row>
    <row r="10" spans="2:3" ht="19.899999999999999" customHeight="1" x14ac:dyDescent="0.25">
      <c r="B10" s="6" t="s">
        <v>17</v>
      </c>
      <c r="C10" s="7" t="s">
        <v>37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Database</vt:lpstr>
      <vt:lpstr>Searchable Database</vt:lpstr>
      <vt:lpstr>Update Data</vt:lpstr>
      <vt:lpstr>Database that Updates Automatic</vt:lpstr>
      <vt:lpstr>Sheet1</vt:lpstr>
      <vt:lpstr>Relational Database</vt:lpstr>
      <vt:lpstr>Database1</vt:lpstr>
      <vt:lpstr>Database2</vt:lpstr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hp</cp:lastModifiedBy>
  <dcterms:created xsi:type="dcterms:W3CDTF">2022-09-11T09:58:24Z</dcterms:created>
  <dcterms:modified xsi:type="dcterms:W3CDTF">2025-11-18T03:25:41Z</dcterms:modified>
</cp:coreProperties>
</file>