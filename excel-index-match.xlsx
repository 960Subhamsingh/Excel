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rtem.Ushakov\Documents\examples\"/>
    </mc:Choice>
  </mc:AlternateContent>
  <xr:revisionPtr revIDLastSave="0" documentId="13_ncr:1_{C1D0BF5E-16F6-442F-BF58-1715985197F0}" xr6:coauthVersionLast="45" xr6:coauthVersionMax="45" xr10:uidLastSave="{00000000-0000-0000-0000-000000000000}"/>
  <bookViews>
    <workbookView xWindow="-98" yWindow="-98" windowWidth="28996" windowHeight="15796" xr2:uid="{00000000-000D-0000-FFFF-FFFF00000000}"/>
  </bookViews>
  <sheets>
    <sheet name="INDEX MATCH - Examples" sheetId="10" r:id="rId1"/>
    <sheet name="INDEX MATCH formula" sheetId="8" r:id="rId2"/>
    <sheet name="Left lookup" sheetId="3" r:id="rId3"/>
    <sheet name="Matrix lookup" sheetId="4" r:id="rId4"/>
    <sheet name="Multiple criteria" sheetId="6" r:id="rId5"/>
    <sheet name="Calculations" sheetId="2" r:id="rId6"/>
    <sheet name="IFNA INDEX MATCH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6" l="1" a="1"/>
  <c r="F3" i="6" s="1"/>
  <c r="F4" i="6" a="1"/>
  <c r="F4" i="6" s="1"/>
  <c r="F2" i="9" a="1"/>
  <c r="F2" i="9" s="1"/>
  <c r="F2" i="8"/>
  <c r="G3" i="4" l="1"/>
  <c r="G4" i="2"/>
  <c r="G3" i="2"/>
  <c r="G2" i="2"/>
  <c r="G6" i="2"/>
  <c r="G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<sst xmlns="http://schemas.openxmlformats.org/spreadsheetml/2006/main" count="167" uniqueCount="66">
  <si>
    <t>Country</t>
  </si>
  <si>
    <t>India</t>
  </si>
  <si>
    <t>Country:</t>
  </si>
  <si>
    <t>China</t>
  </si>
  <si>
    <t>Year:</t>
  </si>
  <si>
    <t>USA</t>
  </si>
  <si>
    <t>Population:</t>
  </si>
  <si>
    <t>Pakistan</t>
  </si>
  <si>
    <t>Indonesia</t>
  </si>
  <si>
    <t>Nigeria</t>
  </si>
  <si>
    <t>Bangladesh</t>
  </si>
  <si>
    <t>Brazil</t>
  </si>
  <si>
    <t>Congo</t>
  </si>
  <si>
    <t>Ethiopia</t>
  </si>
  <si>
    <t xml:space="preserve">Rank            </t>
  </si>
  <si>
    <t>Capital</t>
  </si>
  <si>
    <t>Population</t>
  </si>
  <si>
    <t>Peru</t>
  </si>
  <si>
    <t>Lima</t>
  </si>
  <si>
    <t>Mexico</t>
  </si>
  <si>
    <t>Mexico City</t>
  </si>
  <si>
    <t>Iran</t>
  </si>
  <si>
    <t>Tehran</t>
  </si>
  <si>
    <t>Jakarta</t>
  </si>
  <si>
    <t>South Korea</t>
  </si>
  <si>
    <t>Seoul</t>
  </si>
  <si>
    <t>Avarage:</t>
  </si>
  <si>
    <t>Russia</t>
  </si>
  <si>
    <t>Moscow</t>
  </si>
  <si>
    <t>Japan</t>
  </si>
  <si>
    <t>Tokyo</t>
  </si>
  <si>
    <t>New Delhi</t>
  </si>
  <si>
    <t>Beijing</t>
  </si>
  <si>
    <t>Rank</t>
  </si>
  <si>
    <t>Customer</t>
  </si>
  <si>
    <t>Product</t>
  </si>
  <si>
    <t>Apples</t>
  </si>
  <si>
    <t>Lemons</t>
  </si>
  <si>
    <t xml:space="preserve"> </t>
  </si>
  <si>
    <t>Max</t>
  </si>
  <si>
    <t>Min</t>
  </si>
  <si>
    <t>Average</t>
  </si>
  <si>
    <t>Oranges</t>
  </si>
  <si>
    <t xml:space="preserve">Robert </t>
  </si>
  <si>
    <t>Dan</t>
  </si>
  <si>
    <t>Robert</t>
  </si>
  <si>
    <t>Jeremy</t>
  </si>
  <si>
    <t>Amount</t>
  </si>
  <si>
    <t>Capital population</t>
  </si>
  <si>
    <t>Non-array formula</t>
  </si>
  <si>
    <t>Array formula</t>
  </si>
  <si>
    <t>Author</t>
  </si>
  <si>
    <t>Last update</t>
  </si>
  <si>
    <t>Tutorial URL</t>
  </si>
  <si>
    <t>Basic INDEX MATCH formula</t>
  </si>
  <si>
    <t xml:space="preserve">Left lookup with INDEX MATCH  </t>
  </si>
  <si>
    <t>2-way lookup in rows and columns</t>
  </si>
  <si>
    <t>INDEX MATCH with MAX, MIN and AVERAGE</t>
  </si>
  <si>
    <t>Look up multiple criteria</t>
  </si>
  <si>
    <t>INDEX MATCH with IFNA</t>
  </si>
  <si>
    <t>Sample Workbook to Using INDEX MATCH in Excel</t>
  </si>
  <si>
    <t>The workbook shows how to use INDEX MATCH in Excel to look up left in a table, search in rows and columns, look up multiple criteria, and more.</t>
  </si>
  <si>
    <t>Ablebits.com</t>
  </si>
  <si>
    <t>INDEX &amp; MATCH in Excel - better alternative to VLOOKUP</t>
  </si>
  <si>
    <t>Examples:</t>
  </si>
  <si>
    <t xml:space="preserve">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</si>
</sst>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409]d\-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8" tint="-0.249977111117893"/>
      <name val="Calibri"/>
      <family val="2"/>
      <charset val="204"/>
      <scheme val="minor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charset val="204"/>
      <scheme val="minor"/>
    </font>
    <font>
      <sz val="27"/>
      <color theme="1" tint="0.249977111117893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</borders>
  <cellStyleXfs count="5">
    <xf numFmtId="0" fontId="0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/>
  </cellStyleXfs>
  <cellXfs count="41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/>
    <xf numFmtId="0" fontId="0" fillId="0" borderId="6" xfId="0" applyBorder="1"/>
    <xf numFmtId="0" fontId="1" fillId="0" borderId="3" xfId="0" applyFont="1" applyBorder="1"/>
    <xf numFmtId="0" fontId="0" fillId="0" borderId="4" xfId="0" applyBorder="1"/>
    <xf numFmtId="0" fontId="1" fillId="0" borderId="1" xfId="0" applyFont="1" applyBorder="1"/>
    <xf numFmtId="3" fontId="0" fillId="0" borderId="4" xfId="0" applyNumberFormat="1" applyBorder="1"/>
    <xf numFmtId="0" fontId="0" fillId="2" borderId="2" xfId="0" applyFill="1" applyBorder="1"/>
    <xf numFmtId="1" fontId="0" fillId="2" borderId="6" xfId="0" applyNumberFormat="1" applyFill="1" applyBorder="1" applyAlignment="1">
      <alignment horizontal="left"/>
    </xf>
    <xf numFmtId="0" fontId="2" fillId="3" borderId="0" xfId="0" applyFont="1" applyFill="1"/>
    <xf numFmtId="0" fontId="2" fillId="0" borderId="1" xfId="0" applyFont="1" applyBorder="1"/>
    <xf numFmtId="0" fontId="2" fillId="0" borderId="5" xfId="0" applyFont="1" applyBorder="1"/>
    <xf numFmtId="0" fontId="2" fillId="0" borderId="3" xfId="0" applyFont="1" applyBorder="1"/>
    <xf numFmtId="0" fontId="0" fillId="2" borderId="6" xfId="0" applyFill="1" applyBorder="1"/>
    <xf numFmtId="164" fontId="0" fillId="0" borderId="4" xfId="0" applyNumberFormat="1" applyBorder="1"/>
    <xf numFmtId="3" fontId="0" fillId="0" borderId="2" xfId="0" applyNumberFormat="1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164" fontId="0" fillId="0" borderId="6" xfId="0" applyNumberFormat="1" applyBorder="1"/>
    <xf numFmtId="3" fontId="0" fillId="0" borderId="4" xfId="0" applyNumberFormat="1" applyBorder="1" applyAlignment="1">
      <alignment horizontal="right"/>
    </xf>
    <xf numFmtId="0" fontId="4" fillId="0" borderId="0" xfId="0" applyFont="1"/>
    <xf numFmtId="0" fontId="7" fillId="4" borderId="0" xfId="4" applyFill="1"/>
    <xf numFmtId="0" fontId="7" fillId="4" borderId="0" xfId="4" applyFill="1" applyAlignment="1">
      <alignment horizontal="left"/>
    </xf>
    <xf numFmtId="0" fontId="9" fillId="4" borderId="0" xfId="3" applyFont="1" applyFill="1"/>
    <xf numFmtId="165" fontId="7" fillId="4" borderId="0" xfId="4" applyNumberFormat="1" applyFill="1" applyAlignment="1">
      <alignment horizontal="left"/>
    </xf>
    <xf numFmtId="0" fontId="2" fillId="4" borderId="0" xfId="4" applyFont="1" applyFill="1" applyAlignment="1">
      <alignment vertical="top"/>
    </xf>
    <xf numFmtId="0" fontId="7" fillId="4" borderId="0" xfId="4" applyFill="1" applyAlignment="1">
      <alignment vertical="top"/>
    </xf>
    <xf numFmtId="0" fontId="7" fillId="4" borderId="0" xfId="4" applyFill="1" applyAlignment="1">
      <alignment horizontal="right"/>
    </xf>
    <xf numFmtId="0" fontId="7" fillId="0" borderId="0" xfId="4"/>
    <xf numFmtId="0" fontId="10" fillId="4" borderId="0" xfId="3" applyFont="1" applyFill="1" applyAlignment="1">
      <alignment horizontal="left"/>
    </xf>
    <xf numFmtId="0" fontId="8" fillId="4" borderId="0" xfId="4" applyFont="1" applyFill="1" applyAlignment="1">
      <alignment horizontal="left"/>
    </xf>
    <xf numFmtId="0" fontId="7" fillId="4" borderId="0" xfId="4" applyFill="1" applyAlignment="1">
      <alignment vertical="top" wrapText="1"/>
    </xf>
    <xf numFmtId="0" fontId="10" fillId="4" borderId="0" xfId="3" applyFont="1" applyFill="1"/>
  </cellXfs>
  <cellStyles count="5">
    <cellStyle name="Hyperlink 2" xfId="2" xr:uid="{52FE8155-E5B3-46F3-891C-A3714F28B70A}"/>
    <cellStyle name="Hyperlink 3" xfId="3" xr:uid="{20CAE44A-0BF7-4F75-9DF6-398D7BDDD00E}"/>
    <cellStyle name="Normal" xfId="0" builtinId="0"/>
    <cellStyle name="Normal 2" xfId="1" xr:uid="{6D475A5A-335B-4693-8697-1E2D9AD872FB}"/>
    <cellStyle name="Normal 3" xfId="4" xr:uid="{AD020C66-3ACB-4346-9799-3E1AFD623D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www.ablebits.com" TargetMode="Externa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https://www.ablebits.com/excel-suite/index-2020.php?visitfrom=xls-book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89684" cy="182880"/>
    <xdr:pic>
      <xdr:nvPicPr>
        <xdr:cNvPr id="2" name="Рисунок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0198D-2083-4830-8B0E-5840C2180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35280" y="251460"/>
          <a:ext cx="1289684" cy="182880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17</xdr:row>
      <xdr:rowOff>161925</xdr:rowOff>
    </xdr:from>
    <xdr:ext cx="6101714" cy="999171"/>
    <xdr:pic>
      <xdr:nvPicPr>
        <xdr:cNvPr id="3" name="Рисунок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A07B0F-7113-400B-999B-D58D18ABC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42900" y="4274820"/>
          <a:ext cx="6101714" cy="9991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lebits.com/office-addins-blog/2014/08/13/excel-index-match-function-vlookup/" TargetMode="External"/><Relationship Id="rId2" Type="http://schemas.openxmlformats.org/officeDocument/2006/relationships/hyperlink" Target="https://www.ablebits.com/office-addins-blog/2020/09/09/excel-xmatch-function-formula-examples/" TargetMode="External"/><Relationship Id="rId1" Type="http://schemas.openxmlformats.org/officeDocument/2006/relationships/hyperlink" Target="https://www.ablebits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7B35-C3A1-40DA-8BEB-F5DED1C85195}">
  <dimension ref="A2:G20"/>
  <sheetViews>
    <sheetView showGridLines="0" tabSelected="1" workbookViewId="0">
      <selection activeCell="B4" sqref="B4:C4"/>
    </sheetView>
  </sheetViews>
  <sheetFormatPr defaultColWidth="9.1328125" defaultRowHeight="14.25" x14ac:dyDescent="0.45"/>
  <cols>
    <col min="1" max="1" width="4.73046875" style="29" customWidth="1"/>
    <col min="2" max="2" width="15.73046875" style="29" customWidth="1"/>
    <col min="3" max="3" width="83.73046875" style="29" customWidth="1"/>
    <col min="4" max="16384" width="9.1328125" style="29"/>
  </cols>
  <sheetData>
    <row r="2" spans="1:4" ht="16.899999999999999" customHeight="1" x14ac:dyDescent="0.45"/>
    <row r="3" spans="1:4" ht="12.4" customHeight="1" x14ac:dyDescent="0.45"/>
    <row r="4" spans="1:4" ht="35.25" customHeight="1" x14ac:dyDescent="1">
      <c r="B4" s="38" t="s">
        <v>60</v>
      </c>
      <c r="C4" s="38"/>
    </row>
    <row r="6" spans="1:4" ht="46.5" customHeight="1" x14ac:dyDescent="0.45">
      <c r="B6" s="39" t="s">
        <v>61</v>
      </c>
      <c r="C6" s="39"/>
    </row>
    <row r="7" spans="1:4" x14ac:dyDescent="0.45">
      <c r="B7" s="30" t="s">
        <v>51</v>
      </c>
      <c r="C7" s="31" t="s">
        <v>62</v>
      </c>
    </row>
    <row r="8" spans="1:4" x14ac:dyDescent="0.45">
      <c r="B8" s="30" t="s">
        <v>52</v>
      </c>
      <c r="C8" s="32">
        <v>43798</v>
      </c>
    </row>
    <row r="9" spans="1:4" x14ac:dyDescent="0.45">
      <c r="B9" s="30" t="s">
        <v>53</v>
      </c>
      <c r="C9" s="40" t="s">
        <v>63</v>
      </c>
      <c r="D9" s="40"/>
    </row>
    <row r="10" spans="1:4" x14ac:dyDescent="0.45">
      <c r="B10" s="30"/>
      <c r="C10" s="31"/>
    </row>
    <row r="11" spans="1:4" ht="22.5" customHeight="1" x14ac:dyDescent="0.45">
      <c r="B11" s="33" t="s">
        <v>64</v>
      </c>
      <c r="C11" s="34"/>
    </row>
    <row r="12" spans="1:4" x14ac:dyDescent="0.45">
      <c r="A12" s="35" t="s">
        <v>65</v>
      </c>
      <c r="B12" s="37" t="s">
        <v>54</v>
      </c>
      <c r="C12" s="37"/>
    </row>
    <row r="13" spans="1:4" x14ac:dyDescent="0.45">
      <c r="A13" s="35" t="s">
        <v>65</v>
      </c>
      <c r="B13" s="37" t="s">
        <v>55</v>
      </c>
      <c r="C13" s="37"/>
    </row>
    <row r="14" spans="1:4" x14ac:dyDescent="0.45">
      <c r="A14" s="35" t="s">
        <v>65</v>
      </c>
      <c r="B14" s="37" t="s">
        <v>56</v>
      </c>
      <c r="C14" s="37"/>
    </row>
    <row r="15" spans="1:4" x14ac:dyDescent="0.45">
      <c r="A15" s="35" t="s">
        <v>65</v>
      </c>
      <c r="B15" s="37" t="s">
        <v>58</v>
      </c>
      <c r="C15" s="37"/>
    </row>
    <row r="16" spans="1:4" x14ac:dyDescent="0.45">
      <c r="A16" s="35" t="s">
        <v>65</v>
      </c>
      <c r="B16" s="37" t="s">
        <v>57</v>
      </c>
      <c r="C16" s="37"/>
    </row>
    <row r="17" spans="1:7" x14ac:dyDescent="0.45">
      <c r="A17" s="35" t="s">
        <v>65</v>
      </c>
      <c r="B17" s="37" t="s">
        <v>59</v>
      </c>
      <c r="C17" s="37"/>
    </row>
    <row r="18" spans="1:7" s="36" customFormat="1" x14ac:dyDescent="0.45"/>
    <row r="20" spans="1:7" x14ac:dyDescent="0.45">
      <c r="G20" s="29" t="s">
        <v>38</v>
      </c>
    </row>
  </sheetData>
  <mergeCells count="9">
    <mergeCell ref="B14:C14"/>
    <mergeCell ref="B15:C15"/>
    <mergeCell ref="B16:C16"/>
    <mergeCell ref="B17:C17"/>
    <mergeCell ref="B4:C4"/>
    <mergeCell ref="B6:C6"/>
    <mergeCell ref="C9:D9"/>
    <mergeCell ref="B12:C12"/>
    <mergeCell ref="B13:C13"/>
  </mergeCells>
  <hyperlinks>
    <hyperlink ref="C7" r:id="rId1" display="https://www.Ablebits.com" xr:uid="{B082BFD3-B6A7-43B8-A674-473CB6D6F918}"/>
    <hyperlink ref="C9" r:id="rId2" display="Excel SMALL function with examples" xr:uid="{52177511-F2E1-4419-8E8F-2722D22F4C95}"/>
    <hyperlink ref="B12" location="'INDEX MATCH formula'!A1" display="Basic INDEX MATCH formula" xr:uid="{E54A629E-573B-49AD-B533-8A40D8CB4200}"/>
    <hyperlink ref="B13" location="'Left lookup'!A1" display="Left lookup with INDEX MATCH  " xr:uid="{F79EFE22-F485-44C3-BF0B-0A9B622BC146}"/>
    <hyperlink ref="B14" location="'Matrix lookup'!A1" display="2-way lookup in rows and columns" xr:uid="{D3DFB0BD-654B-4F7D-B80E-06115E6D9074}"/>
    <hyperlink ref="B15" location="'Multiple criteria'!A1" display="Look up multiple criteria" xr:uid="{8B067BB0-5233-4AAB-B697-B74F8A33FCAE}"/>
    <hyperlink ref="B16" location="Calculations!A1" display="INDEX MATCH with MAX, MIN and AVERAGE" xr:uid="{F996FF37-5489-446D-A7EF-DE5BDD563673}"/>
    <hyperlink ref="B17" location="'IFNA INDEX MATCH'!A1" display="INDEX MATCH with IFNA" xr:uid="{1B81CB83-53D1-4F6C-9607-959024E99B3C}"/>
    <hyperlink ref="C9:D9" r:id="rId3" display="INDEX &amp; MATCH in Excel - better alternative to VLOOKUP" xr:uid="{3790154C-00E4-4F77-8C58-5DEB3A7502CF}"/>
  </hyperlink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BAB7-8B42-4503-9EF2-5D591C5E60C4}">
  <dimension ref="A1:J14"/>
  <sheetViews>
    <sheetView workbookViewId="0"/>
  </sheetViews>
  <sheetFormatPr defaultRowHeight="14.25" x14ac:dyDescent="0.45"/>
  <cols>
    <col min="1" max="1" width="12.86328125" customWidth="1"/>
    <col min="2" max="2" width="11.86328125" customWidth="1"/>
    <col min="3" max="3" width="13.86328125" customWidth="1"/>
    <col min="4" max="4" width="10" customWidth="1"/>
    <col min="5" max="5" width="17.59765625" bestFit="1" customWidth="1"/>
    <col min="6" max="6" width="11.59765625" customWidth="1"/>
    <col min="10" max="10" width="10.1328125" bestFit="1" customWidth="1"/>
  </cols>
  <sheetData>
    <row r="1" spans="1:10" x14ac:dyDescent="0.45">
      <c r="A1" s="16" t="s">
        <v>0</v>
      </c>
      <c r="B1" s="16" t="s">
        <v>15</v>
      </c>
      <c r="C1" s="16" t="s">
        <v>16</v>
      </c>
      <c r="E1" s="6" t="s">
        <v>0</v>
      </c>
      <c r="F1" s="22" t="s">
        <v>29</v>
      </c>
    </row>
    <row r="2" spans="1:10" x14ac:dyDescent="0.45">
      <c r="A2" t="s">
        <v>3</v>
      </c>
      <c r="B2" t="s">
        <v>32</v>
      </c>
      <c r="C2" s="1">
        <v>20693000</v>
      </c>
      <c r="D2" s="1"/>
      <c r="E2" s="7" t="s">
        <v>48</v>
      </c>
      <c r="F2" s="27">
        <f>INDEX(C2:C10, MATCH(F1,A2:A10,0))</f>
        <v>13189000</v>
      </c>
    </row>
    <row r="3" spans="1:10" x14ac:dyDescent="0.45">
      <c r="A3" t="s">
        <v>1</v>
      </c>
      <c r="B3" t="s">
        <v>31</v>
      </c>
      <c r="C3" s="1">
        <v>17838842</v>
      </c>
      <c r="D3" s="1"/>
      <c r="J3" s="1"/>
    </row>
    <row r="4" spans="1:10" x14ac:dyDescent="0.45">
      <c r="A4" t="s">
        <v>29</v>
      </c>
      <c r="B4" t="s">
        <v>30</v>
      </c>
      <c r="C4" s="1">
        <v>13189000</v>
      </c>
      <c r="D4" s="1"/>
    </row>
    <row r="5" spans="1:10" x14ac:dyDescent="0.45">
      <c r="A5" t="s">
        <v>27</v>
      </c>
      <c r="B5" t="s">
        <v>28</v>
      </c>
      <c r="C5" s="1">
        <v>11541000</v>
      </c>
      <c r="D5" s="1"/>
    </row>
    <row r="6" spans="1:10" x14ac:dyDescent="0.45">
      <c r="A6" t="s">
        <v>24</v>
      </c>
      <c r="B6" t="s">
        <v>25</v>
      </c>
      <c r="C6" s="1">
        <v>10528774</v>
      </c>
      <c r="D6" s="1"/>
    </row>
    <row r="7" spans="1:10" x14ac:dyDescent="0.45">
      <c r="A7" t="s">
        <v>8</v>
      </c>
      <c r="B7" t="s">
        <v>23</v>
      </c>
      <c r="C7" s="1">
        <v>10187595</v>
      </c>
      <c r="D7" s="1"/>
    </row>
    <row r="8" spans="1:10" x14ac:dyDescent="0.45">
      <c r="A8" t="s">
        <v>21</v>
      </c>
      <c r="B8" t="s">
        <v>22</v>
      </c>
      <c r="C8" s="1">
        <v>9110347</v>
      </c>
      <c r="D8" s="1"/>
    </row>
    <row r="9" spans="1:10" x14ac:dyDescent="0.45">
      <c r="A9" t="s">
        <v>19</v>
      </c>
      <c r="B9" t="s">
        <v>20</v>
      </c>
      <c r="C9" s="1">
        <v>8851080</v>
      </c>
      <c r="D9" s="1"/>
    </row>
    <row r="10" spans="1:10" x14ac:dyDescent="0.45">
      <c r="A10" t="s">
        <v>17</v>
      </c>
      <c r="B10" t="s">
        <v>18</v>
      </c>
      <c r="C10" s="1">
        <v>8481415</v>
      </c>
      <c r="D10" s="1"/>
    </row>
    <row r="11" spans="1:10" x14ac:dyDescent="0.45">
      <c r="C11" s="1"/>
      <c r="D11" s="1"/>
    </row>
    <row r="12" spans="1:10" x14ac:dyDescent="0.45">
      <c r="C12" s="1"/>
      <c r="D12" s="1"/>
    </row>
    <row r="14" spans="1:10" x14ac:dyDescent="0.45">
      <c r="C14" s="1"/>
      <c r="D14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ACC4-1D76-4E2B-A88A-64EDD960E5F2}">
  <dimension ref="A1:K14"/>
  <sheetViews>
    <sheetView workbookViewId="0"/>
  </sheetViews>
  <sheetFormatPr defaultRowHeight="14.25" x14ac:dyDescent="0.45"/>
  <cols>
    <col min="1" max="1" width="11.86328125" customWidth="1"/>
    <col min="2" max="2" width="12.86328125" customWidth="1"/>
    <col min="3" max="3" width="11.86328125" customWidth="1"/>
    <col min="4" max="4" width="13.86328125" customWidth="1"/>
    <col min="5" max="5" width="10.265625" customWidth="1"/>
    <col min="6" max="6" width="12.86328125" customWidth="1"/>
    <col min="7" max="7" width="11.59765625" customWidth="1"/>
    <col min="11" max="11" width="10.1328125" bestFit="1" customWidth="1"/>
  </cols>
  <sheetData>
    <row r="1" spans="1:11" x14ac:dyDescent="0.45">
      <c r="A1" s="16" t="s">
        <v>33</v>
      </c>
      <c r="B1" s="16" t="s">
        <v>0</v>
      </c>
      <c r="C1" s="16" t="s">
        <v>15</v>
      </c>
      <c r="D1" s="16" t="s">
        <v>16</v>
      </c>
      <c r="F1" s="6" t="s">
        <v>15</v>
      </c>
      <c r="G1" s="22" t="s">
        <v>28</v>
      </c>
    </row>
    <row r="2" spans="1:11" x14ac:dyDescent="0.45">
      <c r="A2">
        <v>1</v>
      </c>
      <c r="B2" t="s">
        <v>3</v>
      </c>
      <c r="C2" t="s">
        <v>32</v>
      </c>
      <c r="D2" s="1">
        <v>20693000</v>
      </c>
      <c r="E2" s="1"/>
      <c r="F2" s="7" t="s">
        <v>33</v>
      </c>
      <c r="G2" s="27">
        <f>INDEX(A2:A10, MATCH(G1,C2:C10,0))</f>
        <v>4</v>
      </c>
    </row>
    <row r="3" spans="1:11" x14ac:dyDescent="0.45">
      <c r="A3">
        <v>2</v>
      </c>
      <c r="B3" t="s">
        <v>1</v>
      </c>
      <c r="C3" t="s">
        <v>31</v>
      </c>
      <c r="D3" s="1">
        <v>17838842</v>
      </c>
      <c r="E3" s="1"/>
      <c r="F3" s="3"/>
      <c r="G3" s="4"/>
      <c r="K3" s="1"/>
    </row>
    <row r="4" spans="1:11" x14ac:dyDescent="0.45">
      <c r="A4">
        <v>3</v>
      </c>
      <c r="B4" t="s">
        <v>29</v>
      </c>
      <c r="C4" t="s">
        <v>30</v>
      </c>
      <c r="D4" s="1">
        <v>13189000</v>
      </c>
      <c r="E4" s="1"/>
    </row>
    <row r="5" spans="1:11" x14ac:dyDescent="0.45">
      <c r="A5">
        <v>4</v>
      </c>
      <c r="B5" t="s">
        <v>27</v>
      </c>
      <c r="C5" t="s">
        <v>28</v>
      </c>
      <c r="D5" s="1">
        <v>11541000</v>
      </c>
      <c r="E5" s="1"/>
    </row>
    <row r="6" spans="1:11" x14ac:dyDescent="0.45">
      <c r="A6">
        <v>5</v>
      </c>
      <c r="B6" t="s">
        <v>24</v>
      </c>
      <c r="C6" t="s">
        <v>25</v>
      </c>
      <c r="D6" s="1">
        <v>10528774</v>
      </c>
      <c r="E6" s="1"/>
    </row>
    <row r="7" spans="1:11" x14ac:dyDescent="0.45">
      <c r="A7">
        <v>6</v>
      </c>
      <c r="B7" t="s">
        <v>8</v>
      </c>
      <c r="C7" t="s">
        <v>23</v>
      </c>
      <c r="D7" s="1">
        <v>10187595</v>
      </c>
      <c r="E7" s="1"/>
    </row>
    <row r="8" spans="1:11" x14ac:dyDescent="0.45">
      <c r="A8">
        <v>7</v>
      </c>
      <c r="B8" t="s">
        <v>21</v>
      </c>
      <c r="C8" t="s">
        <v>22</v>
      </c>
      <c r="D8" s="1">
        <v>9110347</v>
      </c>
      <c r="E8" s="1"/>
    </row>
    <row r="9" spans="1:11" x14ac:dyDescent="0.45">
      <c r="A9">
        <v>8</v>
      </c>
      <c r="B9" t="s">
        <v>19</v>
      </c>
      <c r="C9" t="s">
        <v>20</v>
      </c>
      <c r="D9" s="1">
        <v>8851080</v>
      </c>
      <c r="E9" s="1"/>
    </row>
    <row r="10" spans="1:11" x14ac:dyDescent="0.45">
      <c r="A10">
        <v>9</v>
      </c>
      <c r="B10" t="s">
        <v>17</v>
      </c>
      <c r="C10" t="s">
        <v>18</v>
      </c>
      <c r="D10" s="1">
        <v>8481415</v>
      </c>
      <c r="E10" s="1"/>
    </row>
    <row r="11" spans="1:11" x14ac:dyDescent="0.45">
      <c r="D11" s="1"/>
      <c r="E11" s="1"/>
    </row>
    <row r="12" spans="1:11" x14ac:dyDescent="0.45">
      <c r="D12" s="1"/>
      <c r="E12" s="1"/>
    </row>
    <row r="14" spans="1:11" x14ac:dyDescent="0.45">
      <c r="D14" s="1"/>
      <c r="E14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0329-D9AE-49D6-9F81-90E2BCC151C4}">
  <dimension ref="A1:G11"/>
  <sheetViews>
    <sheetView workbookViewId="0"/>
  </sheetViews>
  <sheetFormatPr defaultRowHeight="14.25" x14ac:dyDescent="0.45"/>
  <cols>
    <col min="1" max="1" width="13.73046875" customWidth="1"/>
    <col min="2" max="2" width="10.1328125" customWidth="1"/>
    <col min="3" max="3" width="11.73046875" customWidth="1"/>
    <col min="4" max="4" width="10.86328125" customWidth="1"/>
    <col min="6" max="7" width="11.3984375" customWidth="1"/>
  </cols>
  <sheetData>
    <row r="1" spans="1:7" x14ac:dyDescent="0.45">
      <c r="A1" s="16" t="s">
        <v>0</v>
      </c>
      <c r="B1" s="16">
        <v>1950</v>
      </c>
      <c r="C1" s="16">
        <v>2000</v>
      </c>
      <c r="D1" s="16">
        <v>2015</v>
      </c>
      <c r="F1" s="12" t="s">
        <v>2</v>
      </c>
      <c r="G1" s="14" t="s">
        <v>3</v>
      </c>
    </row>
    <row r="2" spans="1:7" x14ac:dyDescent="0.45">
      <c r="A2" t="s">
        <v>1</v>
      </c>
      <c r="B2" s="1">
        <v>357561</v>
      </c>
      <c r="C2" s="1">
        <v>1008937</v>
      </c>
      <c r="D2" s="1">
        <v>1230484</v>
      </c>
      <c r="F2" s="8" t="s">
        <v>4</v>
      </c>
      <c r="G2" s="15">
        <v>2015</v>
      </c>
    </row>
    <row r="3" spans="1:7" x14ac:dyDescent="0.45">
      <c r="A3" t="s">
        <v>3</v>
      </c>
      <c r="B3" s="1">
        <v>554760</v>
      </c>
      <c r="C3" s="1">
        <v>1275133</v>
      </c>
      <c r="D3" s="1">
        <v>1410217</v>
      </c>
      <c r="F3" s="10" t="s">
        <v>6</v>
      </c>
      <c r="G3" s="13">
        <f>INDEX(B2:D11, MATCH(G1,A2:A11,0), MATCH(G2,B1:D1,0))</f>
        <v>1410217</v>
      </c>
    </row>
    <row r="4" spans="1:7" x14ac:dyDescent="0.45">
      <c r="A4" t="s">
        <v>5</v>
      </c>
      <c r="B4" s="1">
        <v>157813</v>
      </c>
      <c r="C4" s="1">
        <v>283230</v>
      </c>
      <c r="D4" s="1">
        <v>321225</v>
      </c>
    </row>
    <row r="5" spans="1:7" x14ac:dyDescent="0.45">
      <c r="A5" t="s">
        <v>7</v>
      </c>
      <c r="B5" s="1">
        <v>39659</v>
      </c>
      <c r="C5" s="1">
        <v>141256</v>
      </c>
      <c r="D5" s="1">
        <v>204267</v>
      </c>
    </row>
    <row r="6" spans="1:7" x14ac:dyDescent="0.45">
      <c r="A6" t="s">
        <v>8</v>
      </c>
      <c r="B6" s="1">
        <v>79538</v>
      </c>
      <c r="C6" s="1">
        <v>212092</v>
      </c>
      <c r="D6" s="1">
        <v>250068</v>
      </c>
    </row>
    <row r="7" spans="1:7" x14ac:dyDescent="0.45">
      <c r="A7" t="s">
        <v>9</v>
      </c>
      <c r="B7" s="1">
        <v>29790</v>
      </c>
      <c r="C7" s="1">
        <v>113862</v>
      </c>
      <c r="D7" s="1">
        <v>165313</v>
      </c>
    </row>
    <row r="8" spans="1:7" x14ac:dyDescent="0.45">
      <c r="A8" t="s">
        <v>10</v>
      </c>
      <c r="B8" s="1">
        <v>41783</v>
      </c>
      <c r="C8" s="1">
        <v>137439</v>
      </c>
      <c r="D8" s="1">
        <v>183159</v>
      </c>
    </row>
    <row r="9" spans="1:7" x14ac:dyDescent="0.45">
      <c r="A9" t="s">
        <v>11</v>
      </c>
      <c r="B9" s="1">
        <v>53975</v>
      </c>
      <c r="C9" s="1">
        <v>170406</v>
      </c>
      <c r="D9" s="1">
        <v>201393</v>
      </c>
    </row>
    <row r="10" spans="1:7" x14ac:dyDescent="0.45">
      <c r="A10" t="s">
        <v>12</v>
      </c>
      <c r="B10" s="1">
        <v>12184</v>
      </c>
      <c r="C10" s="1">
        <v>50948</v>
      </c>
      <c r="D10" s="1">
        <v>84045</v>
      </c>
    </row>
    <row r="11" spans="1:7" x14ac:dyDescent="0.45">
      <c r="A11" t="s">
        <v>13</v>
      </c>
      <c r="B11" s="1">
        <v>18434</v>
      </c>
      <c r="C11" s="1">
        <v>62908</v>
      </c>
      <c r="D11" s="1">
        <v>89765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1EB8-7697-43F8-9E61-B36054A10AED}">
  <dimension ref="A1:H25"/>
  <sheetViews>
    <sheetView workbookViewId="0"/>
  </sheetViews>
  <sheetFormatPr defaultRowHeight="14.25" x14ac:dyDescent="0.45"/>
  <cols>
    <col min="1" max="1" width="11.59765625" customWidth="1"/>
    <col min="3" max="3" width="10.265625" customWidth="1"/>
    <col min="5" max="5" width="10.59765625" customWidth="1"/>
    <col min="6" max="6" width="10.1328125" customWidth="1"/>
  </cols>
  <sheetData>
    <row r="1" spans="1:7" x14ac:dyDescent="0.45">
      <c r="A1" s="16" t="s">
        <v>34</v>
      </c>
      <c r="B1" s="16" t="s">
        <v>35</v>
      </c>
      <c r="C1" s="16" t="s">
        <v>47</v>
      </c>
      <c r="E1" s="17" t="s">
        <v>34</v>
      </c>
      <c r="F1" s="14" t="s">
        <v>44</v>
      </c>
    </row>
    <row r="2" spans="1:7" x14ac:dyDescent="0.45">
      <c r="A2" t="s">
        <v>44</v>
      </c>
      <c r="B2" t="s">
        <v>36</v>
      </c>
      <c r="C2" s="5">
        <v>271</v>
      </c>
      <c r="E2" s="18" t="s">
        <v>35</v>
      </c>
      <c r="F2" s="20" t="s">
        <v>42</v>
      </c>
    </row>
    <row r="3" spans="1:7" x14ac:dyDescent="0.45">
      <c r="A3" t="s">
        <v>44</v>
      </c>
      <c r="B3" t="s">
        <v>37</v>
      </c>
      <c r="C3" s="5">
        <v>245</v>
      </c>
      <c r="E3" s="18" t="s">
        <v>47</v>
      </c>
      <c r="F3" s="26">
        <f t="array" ref="F3">INDEX(C2:C10, MATCH(1, (F1=A2:A10) * (F2=B2:B10), 0))</f>
        <v>291</v>
      </c>
      <c r="G3" s="28" t="s">
        <v>50</v>
      </c>
    </row>
    <row r="4" spans="1:7" x14ac:dyDescent="0.45">
      <c r="A4" t="s">
        <v>44</v>
      </c>
      <c r="B4" t="s">
        <v>42</v>
      </c>
      <c r="C4" s="5">
        <v>291</v>
      </c>
      <c r="E4" s="19" t="s">
        <v>47</v>
      </c>
      <c r="F4" s="21" cm="1">
        <f t="array" ref="F4">INDEX(C2:C10, MATCH(1, INDEX((F1=A2:A10) * (F2=B2:B10), 0, 1), 0))</f>
        <v>291</v>
      </c>
      <c r="G4" s="28" t="s">
        <v>49</v>
      </c>
    </row>
    <row r="5" spans="1:7" x14ac:dyDescent="0.45">
      <c r="A5" t="s">
        <v>46</v>
      </c>
      <c r="B5" t="s">
        <v>36</v>
      </c>
      <c r="C5" s="5">
        <v>176</v>
      </c>
    </row>
    <row r="6" spans="1:7" x14ac:dyDescent="0.45">
      <c r="A6" t="s">
        <v>46</v>
      </c>
      <c r="B6" t="s">
        <v>37</v>
      </c>
      <c r="C6" s="5">
        <v>131</v>
      </c>
    </row>
    <row r="7" spans="1:7" x14ac:dyDescent="0.45">
      <c r="A7" t="s">
        <v>46</v>
      </c>
      <c r="B7" t="s">
        <v>42</v>
      </c>
      <c r="C7" s="5">
        <v>128</v>
      </c>
    </row>
    <row r="8" spans="1:7" x14ac:dyDescent="0.45">
      <c r="A8" t="s">
        <v>45</v>
      </c>
      <c r="B8" t="s">
        <v>36</v>
      </c>
      <c r="C8" s="5">
        <v>219</v>
      </c>
    </row>
    <row r="9" spans="1:7" x14ac:dyDescent="0.45">
      <c r="A9" t="s">
        <v>45</v>
      </c>
      <c r="B9" t="s">
        <v>37</v>
      </c>
      <c r="C9" s="5">
        <v>242</v>
      </c>
    </row>
    <row r="10" spans="1:7" x14ac:dyDescent="0.45">
      <c r="A10" t="s">
        <v>43</v>
      </c>
      <c r="B10" t="s">
        <v>42</v>
      </c>
      <c r="C10" s="5">
        <v>250</v>
      </c>
    </row>
    <row r="25" spans="8:8" x14ac:dyDescent="0.45">
      <c r="H25" t="s">
        <v>38</v>
      </c>
    </row>
  </sheetData>
  <sortState xmlns:xlrd2="http://schemas.microsoft.com/office/spreadsheetml/2017/richdata2" ref="A2:C10">
    <sortCondition ref="A2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8BCE-D4A9-444A-98E5-C82D38817D30}">
  <dimension ref="A1:K17"/>
  <sheetViews>
    <sheetView workbookViewId="0"/>
  </sheetViews>
  <sheetFormatPr defaultRowHeight="14.25" x14ac:dyDescent="0.45"/>
  <cols>
    <col min="1" max="1" width="11" customWidth="1"/>
    <col min="2" max="2" width="12.265625" customWidth="1"/>
    <col min="3" max="3" width="11.59765625" customWidth="1"/>
    <col min="4" max="4" width="12.73046875" customWidth="1"/>
    <col min="5" max="5" width="11.73046875" customWidth="1"/>
    <col min="6" max="6" width="12.86328125" customWidth="1"/>
    <col min="7" max="7" width="11.59765625" customWidth="1"/>
    <col min="10" max="11" width="10.1328125" bestFit="1" customWidth="1"/>
  </cols>
  <sheetData>
    <row r="1" spans="1:11" x14ac:dyDescent="0.45">
      <c r="A1" s="16" t="s">
        <v>14</v>
      </c>
      <c r="B1" s="16" t="s">
        <v>0</v>
      </c>
      <c r="C1" s="16" t="s">
        <v>15</v>
      </c>
      <c r="D1" s="16" t="s">
        <v>16</v>
      </c>
      <c r="F1" s="24" t="s">
        <v>16</v>
      </c>
      <c r="G1" s="25" t="s">
        <v>15</v>
      </c>
    </row>
    <row r="2" spans="1:11" x14ac:dyDescent="0.45">
      <c r="A2">
        <v>1</v>
      </c>
      <c r="B2" t="s">
        <v>3</v>
      </c>
      <c r="C2" t="s">
        <v>32</v>
      </c>
      <c r="D2" s="1">
        <v>20693000</v>
      </c>
      <c r="E2" s="1"/>
      <c r="F2" s="18" t="s">
        <v>39</v>
      </c>
      <c r="G2" s="9" t="str">
        <f>INDEX(C2:C10, MATCH(MAX(D2:D10), D2:D10, 0))</f>
        <v>Beijing</v>
      </c>
      <c r="J2" s="1"/>
    </row>
    <row r="3" spans="1:11" x14ac:dyDescent="0.45">
      <c r="A3">
        <v>2</v>
      </c>
      <c r="B3" t="s">
        <v>1</v>
      </c>
      <c r="C3" t="s">
        <v>31</v>
      </c>
      <c r="D3" s="1">
        <v>17838842</v>
      </c>
      <c r="E3" s="1"/>
      <c r="F3" s="18" t="s">
        <v>40</v>
      </c>
      <c r="G3" s="9" t="str">
        <f>INDEX(C2:C10, MATCH(MIN(D2:D10), D2:D10, 0))</f>
        <v>Lima</v>
      </c>
      <c r="K3" s="1"/>
    </row>
    <row r="4" spans="1:11" x14ac:dyDescent="0.45">
      <c r="A4">
        <v>3</v>
      </c>
      <c r="B4" t="s">
        <v>29</v>
      </c>
      <c r="C4" t="s">
        <v>30</v>
      </c>
      <c r="D4" s="1">
        <v>13189000</v>
      </c>
      <c r="E4" s="1"/>
      <c r="F4" s="19" t="s">
        <v>41</v>
      </c>
      <c r="G4" s="11" t="str">
        <f>INDEX(C2:C10, MATCH(AVERAGE(D2:D10), D2:D10, -1 ))</f>
        <v>Tokyo</v>
      </c>
    </row>
    <row r="5" spans="1:11" x14ac:dyDescent="0.45">
      <c r="A5">
        <v>4</v>
      </c>
      <c r="B5" t="s">
        <v>27</v>
      </c>
      <c r="C5" t="s">
        <v>28</v>
      </c>
      <c r="D5" s="1">
        <v>11541000</v>
      </c>
      <c r="E5" s="1"/>
    </row>
    <row r="6" spans="1:11" x14ac:dyDescent="0.45">
      <c r="A6">
        <v>5</v>
      </c>
      <c r="B6" t="s">
        <v>24</v>
      </c>
      <c r="C6" t="s">
        <v>25</v>
      </c>
      <c r="D6" s="1">
        <v>10528774</v>
      </c>
      <c r="E6" s="1"/>
      <c r="F6" s="2" t="s">
        <v>26</v>
      </c>
      <c r="G6" s="1">
        <f>AVERAGE(D2:D10)</f>
        <v>12269005.888888888</v>
      </c>
    </row>
    <row r="7" spans="1:11" x14ac:dyDescent="0.45">
      <c r="A7">
        <v>6</v>
      </c>
      <c r="B7" t="s">
        <v>8</v>
      </c>
      <c r="C7" t="s">
        <v>23</v>
      </c>
      <c r="D7" s="1">
        <v>10187595</v>
      </c>
      <c r="E7" s="1"/>
    </row>
    <row r="8" spans="1:11" x14ac:dyDescent="0.45">
      <c r="A8">
        <v>7</v>
      </c>
      <c r="B8" t="s">
        <v>21</v>
      </c>
      <c r="C8" t="s">
        <v>22</v>
      </c>
      <c r="D8" s="1">
        <v>9110347</v>
      </c>
      <c r="E8" s="1"/>
    </row>
    <row r="9" spans="1:11" x14ac:dyDescent="0.45">
      <c r="A9">
        <v>8</v>
      </c>
      <c r="B9" t="s">
        <v>19</v>
      </c>
      <c r="C9" t="s">
        <v>20</v>
      </c>
      <c r="D9" s="1">
        <v>8851080</v>
      </c>
      <c r="E9" s="1"/>
    </row>
    <row r="10" spans="1:11" x14ac:dyDescent="0.45">
      <c r="A10">
        <v>9</v>
      </c>
      <c r="B10" t="s">
        <v>17</v>
      </c>
      <c r="C10" t="s">
        <v>18</v>
      </c>
      <c r="D10" s="1">
        <v>8481415</v>
      </c>
      <c r="E10" s="1"/>
    </row>
    <row r="11" spans="1:11" x14ac:dyDescent="0.45">
      <c r="D11" s="1"/>
      <c r="E11" s="1"/>
    </row>
    <row r="12" spans="1:11" x14ac:dyDescent="0.45">
      <c r="D12" s="1"/>
      <c r="E12" s="1"/>
    </row>
    <row r="13" spans="1:11" x14ac:dyDescent="0.45">
      <c r="D13" s="1"/>
      <c r="E13" s="1"/>
    </row>
    <row r="14" spans="1:11" x14ac:dyDescent="0.45">
      <c r="D14" s="1"/>
      <c r="E14" s="1"/>
    </row>
    <row r="17" spans="4:5" x14ac:dyDescent="0.45">
      <c r="D17" s="1"/>
      <c r="E17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C749-F718-4299-9A1E-1D27DCB56EF3}">
  <dimension ref="A1:J14"/>
  <sheetViews>
    <sheetView workbookViewId="0"/>
  </sheetViews>
  <sheetFormatPr defaultRowHeight="14.25" x14ac:dyDescent="0.45"/>
  <cols>
    <col min="1" max="1" width="12.86328125" customWidth="1"/>
    <col min="2" max="2" width="11.86328125" customWidth="1"/>
    <col min="3" max="3" width="13.86328125" customWidth="1"/>
    <col min="4" max="4" width="10" customWidth="1"/>
    <col min="5" max="5" width="17.59765625" bestFit="1" customWidth="1"/>
    <col min="6" max="6" width="17.59765625" customWidth="1"/>
    <col min="10" max="10" width="10.1328125" bestFit="1" customWidth="1"/>
  </cols>
  <sheetData>
    <row r="1" spans="1:10" x14ac:dyDescent="0.45">
      <c r="A1" s="16" t="s">
        <v>0</v>
      </c>
      <c r="B1" s="16" t="s">
        <v>15</v>
      </c>
      <c r="C1" s="16" t="s">
        <v>16</v>
      </c>
      <c r="E1" s="6" t="s">
        <v>0</v>
      </c>
      <c r="F1" s="22" t="s">
        <v>5</v>
      </c>
    </row>
    <row r="2" spans="1:10" x14ac:dyDescent="0.45">
      <c r="A2" t="s">
        <v>3</v>
      </c>
      <c r="B2" t="s">
        <v>32</v>
      </c>
      <c r="C2" s="1">
        <v>20693000</v>
      </c>
      <c r="D2" s="1"/>
      <c r="E2" s="7" t="s">
        <v>48</v>
      </c>
      <c r="F2" s="23" t="str" cm="1">
        <f t="array" ref="F2">_xlfn.IFNA(INDEX(C2:C10, MATCH(F1,A2:A10,0)), "No match is found")</f>
        <v>No match is found</v>
      </c>
    </row>
    <row r="3" spans="1:10" x14ac:dyDescent="0.45">
      <c r="A3" t="s">
        <v>1</v>
      </c>
      <c r="B3" t="s">
        <v>31</v>
      </c>
      <c r="C3" s="1">
        <v>17838842</v>
      </c>
      <c r="D3" s="1"/>
      <c r="J3" s="1"/>
    </row>
    <row r="4" spans="1:10" x14ac:dyDescent="0.45">
      <c r="A4" t="s">
        <v>29</v>
      </c>
      <c r="B4" t="s">
        <v>30</v>
      </c>
      <c r="C4" s="1">
        <v>13189000</v>
      </c>
      <c r="D4" s="1"/>
    </row>
    <row r="5" spans="1:10" x14ac:dyDescent="0.45">
      <c r="A5" t="s">
        <v>27</v>
      </c>
      <c r="B5" t="s">
        <v>28</v>
      </c>
      <c r="C5" s="1">
        <v>11541000</v>
      </c>
      <c r="D5" s="1"/>
    </row>
    <row r="6" spans="1:10" x14ac:dyDescent="0.45">
      <c r="A6" t="s">
        <v>24</v>
      </c>
      <c r="B6" t="s">
        <v>25</v>
      </c>
      <c r="C6" s="1">
        <v>10528774</v>
      </c>
      <c r="D6" s="1"/>
    </row>
    <row r="7" spans="1:10" x14ac:dyDescent="0.45">
      <c r="A7" t="s">
        <v>8</v>
      </c>
      <c r="B7" t="s">
        <v>23</v>
      </c>
      <c r="C7" s="1">
        <v>10187595</v>
      </c>
      <c r="D7" s="1"/>
    </row>
    <row r="8" spans="1:10" x14ac:dyDescent="0.45">
      <c r="A8" t="s">
        <v>21</v>
      </c>
      <c r="B8" t="s">
        <v>22</v>
      </c>
      <c r="C8" s="1">
        <v>9110347</v>
      </c>
      <c r="D8" s="1"/>
    </row>
    <row r="9" spans="1:10" x14ac:dyDescent="0.45">
      <c r="A9" t="s">
        <v>19</v>
      </c>
      <c r="B9" t="s">
        <v>20</v>
      </c>
      <c r="C9" s="1">
        <v>8851080</v>
      </c>
      <c r="D9" s="1"/>
    </row>
    <row r="10" spans="1:10" x14ac:dyDescent="0.45">
      <c r="A10" t="s">
        <v>17</v>
      </c>
      <c r="B10" t="s">
        <v>18</v>
      </c>
      <c r="C10" s="1">
        <v>8481415</v>
      </c>
      <c r="D10" s="1"/>
    </row>
    <row r="11" spans="1:10" x14ac:dyDescent="0.45">
      <c r="C11" s="1"/>
      <c r="D11" s="1"/>
    </row>
    <row r="12" spans="1:10" x14ac:dyDescent="0.45">
      <c r="C12" s="1"/>
      <c r="D12" s="1"/>
    </row>
    <row r="14" spans="1:10" x14ac:dyDescent="0.45">
      <c r="C14" s="1"/>
      <c r="D1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MATCH - Examples</vt:lpstr>
      <vt:lpstr>INDEX MATCH formula</vt:lpstr>
      <vt:lpstr>Left lookup</vt:lpstr>
      <vt:lpstr>Matrix lookup</vt:lpstr>
      <vt:lpstr>Multiple criteria</vt:lpstr>
      <vt:lpstr>Calculations</vt:lpstr>
      <vt:lpstr>IFNA INDEX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Artem Ushakov</cp:lastModifiedBy>
  <dcterms:created xsi:type="dcterms:W3CDTF">2014-08-12T14:26:47Z</dcterms:created>
  <dcterms:modified xsi:type="dcterms:W3CDTF">2020-09-17T14:56:47Z</dcterms:modified>
</cp:coreProperties>
</file>