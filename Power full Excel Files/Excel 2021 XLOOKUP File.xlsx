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itanywhere-my.sharepoint.com/personal/faz_karim_learnit_com/Documents/Learnit Clients/Learnit/ELEARNING VIDEOS/Excel 2021 XLOOKUP 11292021 FK/"/>
    </mc:Choice>
  </mc:AlternateContent>
  <xr:revisionPtr revIDLastSave="171" documentId="8_{08E508AE-CF4F-4FD4-9D1D-32F530211D87}" xr6:coauthVersionLast="47" xr6:coauthVersionMax="47" xr10:uidLastSave="{B006C6CD-7BF5-4DD4-B250-D6D27965305F}"/>
  <bookViews>
    <workbookView xWindow="-120" yWindow="-120" windowWidth="38640" windowHeight="15840" tabRatio="795" activeTab="3" xr2:uid="{DB998F0B-5A62-45C0-BB27-BB6D18393D48}"/>
  </bookViews>
  <sheets>
    <sheet name="XLOOKUP_Basics " sheetId="7" r:id="rId1"/>
    <sheet name="XLOOKUP_approx" sheetId="3" r:id="rId2"/>
    <sheet name="XLOOKUP_mulValues" sheetId="4" r:id="rId3"/>
    <sheet name="XLOOKUP_twoway" sheetId="5" r:id="rId4"/>
    <sheet name="XLOOKUP_complex" sheetId="6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" i="5" l="1" a="1"/>
  <c r="H7" i="5" s="1"/>
  <c r="B5" i="4" a="1"/>
  <c r="B5" i="4" s="1"/>
  <c r="D4" i="4"/>
  <c r="C4" i="4"/>
  <c r="B4" i="4"/>
  <c r="E5" i="3"/>
  <c r="E4" i="3"/>
  <c r="B4" i="7" a="1"/>
  <c r="B4" i="7" s="1"/>
  <c r="B3" i="7"/>
  <c r="B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<sst xmlns="http://schemas.openxmlformats.org/spreadsheetml/2006/main" count="356" uniqueCount="308">
  <si>
    <t>Sales</t>
  </si>
  <si>
    <t>Glass</t>
  </si>
  <si>
    <t>Movie</t>
  </si>
  <si>
    <t xml:space="preserve">Quanity </t>
  </si>
  <si>
    <t>Discount</t>
  </si>
  <si>
    <t>Result</t>
  </si>
  <si>
    <t>ID</t>
  </si>
  <si>
    <t>First</t>
  </si>
  <si>
    <t>Last</t>
  </si>
  <si>
    <t>Department</t>
  </si>
  <si>
    <t xml:space="preserve">Michael </t>
  </si>
  <si>
    <t>Scott</t>
  </si>
  <si>
    <t>Toby</t>
  </si>
  <si>
    <t>Flenderson</t>
  </si>
  <si>
    <t>HR</t>
  </si>
  <si>
    <t xml:space="preserve">Jim </t>
  </si>
  <si>
    <t>Halpert</t>
  </si>
  <si>
    <t>Pam</t>
  </si>
  <si>
    <t>Beesly</t>
  </si>
  <si>
    <t>Reception</t>
  </si>
  <si>
    <t>Executive</t>
  </si>
  <si>
    <t xml:space="preserve">Dwight </t>
  </si>
  <si>
    <t>Schrute</t>
  </si>
  <si>
    <t xml:space="preserve">Craig </t>
  </si>
  <si>
    <t>Robinson</t>
  </si>
  <si>
    <t>Fullfiment</t>
  </si>
  <si>
    <t>Andy</t>
  </si>
  <si>
    <t>Bernard</t>
  </si>
  <si>
    <t>Phyllis</t>
  </si>
  <si>
    <t>Vance</t>
  </si>
  <si>
    <t>Wood</t>
  </si>
  <si>
    <t>Titanium</t>
  </si>
  <si>
    <t>Steel</t>
  </si>
  <si>
    <t>Vinyl</t>
  </si>
  <si>
    <t>A</t>
  </si>
  <si>
    <t>B</t>
  </si>
  <si>
    <t>C</t>
  </si>
  <si>
    <t>D</t>
  </si>
  <si>
    <t>Material</t>
  </si>
  <si>
    <t>Group</t>
  </si>
  <si>
    <t>Account</t>
  </si>
  <si>
    <t>Region</t>
  </si>
  <si>
    <t>Date</t>
  </si>
  <si>
    <t>Amount</t>
  </si>
  <si>
    <t>X300-123</t>
  </si>
  <si>
    <t>Z1000-051</t>
  </si>
  <si>
    <t>X1200-145</t>
  </si>
  <si>
    <t>Y450-070</t>
  </si>
  <si>
    <t>Z1200-140</t>
  </si>
  <si>
    <t>Y700-150</t>
  </si>
  <si>
    <t>East</t>
  </si>
  <si>
    <t>West</t>
  </si>
  <si>
    <t>IndexMatch</t>
  </si>
  <si>
    <t>Title</t>
  </si>
  <si>
    <t>IMDb Rating</t>
  </si>
  <si>
    <t>Runtime (mins)</t>
  </si>
  <si>
    <t>Year</t>
  </si>
  <si>
    <t>Genres</t>
  </si>
  <si>
    <t>Release Date</t>
  </si>
  <si>
    <t>Directors</t>
  </si>
  <si>
    <t>Venom: Let There Be Carnage</t>
  </si>
  <si>
    <t>Action, Adventure, Sci-Fi, Thriller</t>
  </si>
  <si>
    <t>Andy Serkis</t>
  </si>
  <si>
    <t>The Addams Family 2</t>
  </si>
  <si>
    <t>Animation, Adventure, Comedy, Family, Fantasy, Horror</t>
  </si>
  <si>
    <t>Laura Brousseau, Kevin Pavlovic, Conrad Vernon, Greg Tiernan</t>
  </si>
  <si>
    <t>No Time to Die</t>
  </si>
  <si>
    <t>Action, Adventure, Thriller</t>
  </si>
  <si>
    <t>Cary Joji Fukunaga</t>
  </si>
  <si>
    <t>Halloween Kills</t>
  </si>
  <si>
    <t>Horror, Thriller</t>
  </si>
  <si>
    <t>David Gordon Green</t>
  </si>
  <si>
    <t>The Last Duel</t>
  </si>
  <si>
    <t>Action, Drama, History, Thriller</t>
  </si>
  <si>
    <t>Ridley Scott</t>
  </si>
  <si>
    <t>Dune: Part One</t>
  </si>
  <si>
    <t>Action, Adventure, Drama, Sci-Fi</t>
  </si>
  <si>
    <t>Denis Villeneuve</t>
  </si>
  <si>
    <t>The French Dispatch</t>
  </si>
  <si>
    <t>Comedy, Drama, Romance</t>
  </si>
  <si>
    <t>Wes Anderson</t>
  </si>
  <si>
    <t>Ron's Gone Wrong</t>
  </si>
  <si>
    <t>Animation, Adventure, Comedy, Family, Sci-Fi</t>
  </si>
  <si>
    <t>Jean-Philippe Vine, Sarah Smith, Octavio E. Rodriguez</t>
  </si>
  <si>
    <t>Last Night in Soho</t>
  </si>
  <si>
    <t>Drama, Horror, Mystery, Thriller</t>
  </si>
  <si>
    <t>Edgar Wright</t>
  </si>
  <si>
    <t>Antlers</t>
  </si>
  <si>
    <t>Drama, Horror, Mystery</t>
  </si>
  <si>
    <t>Scott Cooper</t>
  </si>
  <si>
    <t>Eternals</t>
  </si>
  <si>
    <t>Action, Adventure, Fantasy, Sci-Fi</t>
  </si>
  <si>
    <t>Chloé Zhao</t>
  </si>
  <si>
    <t>Finch</t>
  </si>
  <si>
    <t>Adventure, Drama, Sci-Fi</t>
  </si>
  <si>
    <t>Miguel Sapochnik</t>
  </si>
  <si>
    <t>Clifford the Big Red Dog</t>
  </si>
  <si>
    <t>Adventure, Comedy, Family, Fantasy</t>
  </si>
  <si>
    <t>Walt Becker</t>
  </si>
  <si>
    <t>Ghostbusters: Afterlife</t>
  </si>
  <si>
    <t>Adventure, Comedy, Fantasy, Sci-Fi</t>
  </si>
  <si>
    <t>Jason Reitman</t>
  </si>
  <si>
    <t>King Richard</t>
  </si>
  <si>
    <t>Biography, Drama, Sport</t>
  </si>
  <si>
    <t>Reinaldo Marcus Green</t>
  </si>
  <si>
    <t>Encanto</t>
  </si>
  <si>
    <t>Animation, Adventure, Comedy, Family, Fantasy, Musical</t>
  </si>
  <si>
    <t>Jared Bush, Byron Howard, Charise Castro Smith</t>
  </si>
  <si>
    <t>West Side Story</t>
  </si>
  <si>
    <t>Crime, Drama, Musical, Romance</t>
  </si>
  <si>
    <t>Steven Spielberg</t>
  </si>
  <si>
    <t>Spider-Man: No Way Home</t>
  </si>
  <si>
    <t>Action, Adventure, Sci-Fi</t>
  </si>
  <si>
    <t>Jon Watts</t>
  </si>
  <si>
    <t>The Matrix Resurrections</t>
  </si>
  <si>
    <t>Action, Sci-Fi</t>
  </si>
  <si>
    <t>Lana Wachowski</t>
  </si>
  <si>
    <t>Sing 2</t>
  </si>
  <si>
    <t>Animation, Adventure, Comedy, Family, Musical</t>
  </si>
  <si>
    <t>Garth Jennings</t>
  </si>
  <si>
    <t>The King's Man</t>
  </si>
  <si>
    <t>Action, Adventure, Comedy, Crime, Thriller</t>
  </si>
  <si>
    <t>Matthew Vaughn</t>
  </si>
  <si>
    <t>Scream</t>
  </si>
  <si>
    <t>Horror, Mystery, Thriller</t>
  </si>
  <si>
    <t>Matt Bettinelli-Olpin, Tyler Gillett</t>
  </si>
  <si>
    <t>Sesame Street</t>
  </si>
  <si>
    <t>Adventure, Comedy, Crime, Family, Fantasy, Musical, Mystery</t>
  </si>
  <si>
    <t>Jonathan Krisel</t>
  </si>
  <si>
    <t>Hotel Transylvania: Transformania</t>
  </si>
  <si>
    <t>Animation, Adventure, Comedy, Family, Fantasy, Horror, Romance</t>
  </si>
  <si>
    <t>Jennifer Kluska, Derek Drymon</t>
  </si>
  <si>
    <t>The Man from Toronto</t>
  </si>
  <si>
    <t>Action, Comedy, Drama, Romance, Thriller</t>
  </si>
  <si>
    <t>Patrick Hughes</t>
  </si>
  <si>
    <t>The 355</t>
  </si>
  <si>
    <t>Action, Thriller</t>
  </si>
  <si>
    <t>Simon Kinberg</t>
  </si>
  <si>
    <t>Deep Water</t>
  </si>
  <si>
    <t>Thriller</t>
  </si>
  <si>
    <t>Adrian Lyne</t>
  </si>
  <si>
    <t>Morbius</t>
  </si>
  <si>
    <t>Action, Adventure, Drama, Horror, Sci-Fi, Thriller</t>
  </si>
  <si>
    <t>Daniel Espinosa</t>
  </si>
  <si>
    <t>Jackass Forever</t>
  </si>
  <si>
    <t>Documentary, Action, Comedy</t>
  </si>
  <si>
    <t>Jeff Tremaine</t>
  </si>
  <si>
    <t>Death on the Nile</t>
  </si>
  <si>
    <t>Crime, Drama, Mystery</t>
  </si>
  <si>
    <t>Kenneth Branagh</t>
  </si>
  <si>
    <t>Uncharted</t>
  </si>
  <si>
    <t>Action, Adventure</t>
  </si>
  <si>
    <t>Ruben Fleischer</t>
  </si>
  <si>
    <t>Rumble</t>
  </si>
  <si>
    <t>Animation, Comedy, Family, Fantasy, Sport</t>
  </si>
  <si>
    <t>Hamish Grieve</t>
  </si>
  <si>
    <t>Luck</t>
  </si>
  <si>
    <t>Animation, Adventure, Comedy, Family, Fantasy</t>
  </si>
  <si>
    <t>Peggy Holmes</t>
  </si>
  <si>
    <t>The Batman</t>
  </si>
  <si>
    <t>Action, Crime, Drama, Mystery</t>
  </si>
  <si>
    <t>Matt Reeves</t>
  </si>
  <si>
    <t>Paranormal Activity 8</t>
  </si>
  <si>
    <t>Action, Horror, Thriller</t>
  </si>
  <si>
    <t>Wincent Sommers</t>
  </si>
  <si>
    <t>Turning Red</t>
  </si>
  <si>
    <t>Domee Shi</t>
  </si>
  <si>
    <t>Sonic the Hedgehog 2</t>
  </si>
  <si>
    <t>Action, Adventure, Comedy, Sci-Fi</t>
  </si>
  <si>
    <t>Jeff Fowler</t>
  </si>
  <si>
    <t>The Bad Guys</t>
  </si>
  <si>
    <t>Animation, Adventure, Comedy, Crime, Family</t>
  </si>
  <si>
    <t>Pierre Perifel</t>
  </si>
  <si>
    <t>The Unbearable Weight of Massive Talent</t>
  </si>
  <si>
    <t>Comedy</t>
  </si>
  <si>
    <t>Tom Gormican</t>
  </si>
  <si>
    <t>Samaritan</t>
  </si>
  <si>
    <t>Action, Drama, Fantasy, Sci-Fi</t>
  </si>
  <si>
    <t>Julius Avery</t>
  </si>
  <si>
    <t>Doctor Strange in the Multiverse of Madness</t>
  </si>
  <si>
    <t>Action, Adventure, Fantasy, Horror, Sci-Fi</t>
  </si>
  <si>
    <t>Sam Raimi</t>
  </si>
  <si>
    <t>DC League of Super-Pets</t>
  </si>
  <si>
    <t>Animation, Action, Adventure, Comedy, Crime, Family, Fantasy, Sci-Fi</t>
  </si>
  <si>
    <t>Sam Levine, Jared Stern</t>
  </si>
  <si>
    <t>Top Gun: Maverick</t>
  </si>
  <si>
    <t>Action, Drama</t>
  </si>
  <si>
    <t>Joseph Kosinski</t>
  </si>
  <si>
    <t>John Wick: Chapter 4</t>
  </si>
  <si>
    <t>Action, Crime, Thriller</t>
  </si>
  <si>
    <t>Chad Stahelski</t>
  </si>
  <si>
    <t>Bob's Burgers: The Movie</t>
  </si>
  <si>
    <t>Animation, Adventure, Comedy, Musical</t>
  </si>
  <si>
    <t>Loren Bouchard, Bernard Derriman</t>
  </si>
  <si>
    <t>Untitled Elvis Presley Project</t>
  </si>
  <si>
    <t>Biography, Drama, Music</t>
  </si>
  <si>
    <t>Baz Luhrmann</t>
  </si>
  <si>
    <t>Jurassic World: Dominion</t>
  </si>
  <si>
    <t>Colin Trevorrow</t>
  </si>
  <si>
    <t>Lightyear</t>
  </si>
  <si>
    <t>Animation, Action, Adventure, Comedy, Family, Sci-Fi</t>
  </si>
  <si>
    <t>Angus MacLane</t>
  </si>
  <si>
    <t>Transformers: Rise of the Beasts</t>
  </si>
  <si>
    <t>Steven Caple Jr.</t>
  </si>
  <si>
    <t>Minions: The Rise of Gru</t>
  </si>
  <si>
    <t>Animation, Adventure, Comedy, Crime, Family, Sci-Fi</t>
  </si>
  <si>
    <t>Brad Ableson, Kyle Balda, Jonathan del Val</t>
  </si>
  <si>
    <t>Thor: Love and Thunder</t>
  </si>
  <si>
    <t>Action, Adventure, Fantasy</t>
  </si>
  <si>
    <t>Taika Waititi</t>
  </si>
  <si>
    <t>Fantastic Beasts: The Secrets of Dumbledore</t>
  </si>
  <si>
    <t>Adventure, Family, Fantasy</t>
  </si>
  <si>
    <t>David Yates</t>
  </si>
  <si>
    <t>Black Adam</t>
  </si>
  <si>
    <t>Action, Fantasy, Sci-Fi</t>
  </si>
  <si>
    <t>Jaume Collet-Serra</t>
  </si>
  <si>
    <t>Mission: Impossible 7</t>
  </si>
  <si>
    <t>Christopher McQuarrie</t>
  </si>
  <si>
    <t>Spider-Man: Into the Spider-Verse 2</t>
  </si>
  <si>
    <t>Animation, Action, Adventure, Comedy, Family, Fantasy, Sci-Fi</t>
  </si>
  <si>
    <t>Justin K. Thompson, Kemp Powers, Joaquim Dos Santos</t>
  </si>
  <si>
    <t>Halloween Ends</t>
  </si>
  <si>
    <t>The Flash</t>
  </si>
  <si>
    <t>Andy Muschietti</t>
  </si>
  <si>
    <t>Black Panther: Wakanda Forever</t>
  </si>
  <si>
    <t>Action, Adventure, Drama, Sci-Fi, Thriller</t>
  </si>
  <si>
    <t>Ryan Coogler</t>
  </si>
  <si>
    <t>Avatar 2</t>
  </si>
  <si>
    <t>James Cameron</t>
  </si>
  <si>
    <t>Untitled Disney Animation Project</t>
  </si>
  <si>
    <t>Animation</t>
  </si>
  <si>
    <t>Don Hall</t>
  </si>
  <si>
    <t>Aquaman and the Lost Kingdom</t>
  </si>
  <si>
    <t>James Wan</t>
  </si>
  <si>
    <t>Untitled Super Mario Project</t>
  </si>
  <si>
    <t>Animation, Adventure, Comedy, Family, Fantasy, Romance, Sci-Fi</t>
  </si>
  <si>
    <t>Michael Jelenic, Aaron Horvath</t>
  </si>
  <si>
    <t>Kraven the Hunter</t>
  </si>
  <si>
    <t>J.C. Chandor</t>
  </si>
  <si>
    <t>The Tiger's Apprentice</t>
  </si>
  <si>
    <t>Animation, Action, Adventure, Family</t>
  </si>
  <si>
    <t>Carlos Baena</t>
  </si>
  <si>
    <t>The Marvels</t>
  </si>
  <si>
    <t>Nia DaCosta</t>
  </si>
  <si>
    <t>Dungeons &amp; Dragons</t>
  </si>
  <si>
    <t>Adventure, Fantasy</t>
  </si>
  <si>
    <t>John Francis Daley, Jonathan Goldstein</t>
  </si>
  <si>
    <t>Haunted Mansion</t>
  </si>
  <si>
    <t>Comedy, Drama, Family, Fantasy, Horror, Mystery</t>
  </si>
  <si>
    <t>Justin Simien</t>
  </si>
  <si>
    <t>Wonka</t>
  </si>
  <si>
    <t>Adventure, Comedy, Family, Fantasy, Musical</t>
  </si>
  <si>
    <t>Paul King</t>
  </si>
  <si>
    <t>Guardians of the Galaxy Vol. 3</t>
  </si>
  <si>
    <t>Action, Adventure, Comedy, Sci-Fi, Thriller</t>
  </si>
  <si>
    <t>James Gunn</t>
  </si>
  <si>
    <t>The Little Mermaid</t>
  </si>
  <si>
    <t>Adventure, Family, Fantasy, Musical, Romance</t>
  </si>
  <si>
    <t>Rob Marshall</t>
  </si>
  <si>
    <t>Mission: Impossible 8</t>
  </si>
  <si>
    <t>Shazam! Fury of the Gods</t>
  </si>
  <si>
    <t>Action, Adventure, Comedy, Crime, Fantasy, Thriller</t>
  </si>
  <si>
    <t>David F. Sandberg</t>
  </si>
  <si>
    <t>Untitled Sony/Marvel Project</t>
  </si>
  <si>
    <t>Sci-Fi</t>
  </si>
  <si>
    <t>Olivia Wilde</t>
  </si>
  <si>
    <t>Untitled Indiana Jones Project</t>
  </si>
  <si>
    <t>James Mangold</t>
  </si>
  <si>
    <t>Coyote vs. Acme</t>
  </si>
  <si>
    <t>Animation, Action, Adventure, Comedy, Family</t>
  </si>
  <si>
    <t>Dave Green</t>
  </si>
  <si>
    <t>Ant-Man and the Wasp: Quantumania</t>
  </si>
  <si>
    <t>Action, Adventure, Comedy, Mystery, Sci-Fi, Thriller</t>
  </si>
  <si>
    <t>Peyton Reed</t>
  </si>
  <si>
    <t>Snow White and the Seven Dwarfs</t>
  </si>
  <si>
    <t>Adventure, Drama, Family, Fantasy, Musical, Romance, Thriller</t>
  </si>
  <si>
    <t>Marc Webb</t>
  </si>
  <si>
    <t>Blade</t>
  </si>
  <si>
    <t>Bassam Tariq</t>
  </si>
  <si>
    <t>Untitled Disney Animation</t>
  </si>
  <si>
    <t>Jennifer Lee</t>
  </si>
  <si>
    <t>The Color Purple</t>
  </si>
  <si>
    <t>Drama, Musical</t>
  </si>
  <si>
    <t>Blitz Bazawule</t>
  </si>
  <si>
    <t>Rogue Squadron</t>
  </si>
  <si>
    <t>Action, Adventure, Drama, Fantasy, Mystery, Sci-Fi</t>
  </si>
  <si>
    <t>Captain America 4</t>
  </si>
  <si>
    <t>Furiosa</t>
  </si>
  <si>
    <t>George Miller</t>
  </si>
  <si>
    <t>Fantastic Four</t>
  </si>
  <si>
    <t>Salem's Lot</t>
  </si>
  <si>
    <t>Horror</t>
  </si>
  <si>
    <t>Gary Dauberman</t>
  </si>
  <si>
    <t>Don't Worry Darling</t>
  </si>
  <si>
    <t>Crime, Drama, Horror, Mystery, Thriller</t>
  </si>
  <si>
    <t>Bullet Train</t>
  </si>
  <si>
    <t>David Leitch</t>
  </si>
  <si>
    <t>Harold and the Purple Crayon</t>
  </si>
  <si>
    <t>Legally Blonde 3</t>
  </si>
  <si>
    <t>Jamie Suk</t>
  </si>
  <si>
    <t>Puss in Boots: The Last Wish</t>
  </si>
  <si>
    <t>Januel Mercado, Joel Crawford</t>
  </si>
  <si>
    <t>Fast &amp; Furious 10</t>
  </si>
  <si>
    <t>Action, Adventure, Crime, Mystery, Thriller</t>
  </si>
  <si>
    <t>Justin Lin</t>
  </si>
  <si>
    <t>Untitled Pixar Animation</t>
  </si>
  <si>
    <t>VLOOKUP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</si>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</sst>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8"/>
      <color theme="3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3" applyNumberFormat="0" applyAlignment="0" applyProtection="0"/>
    <xf numFmtId="0" fontId="2" fillId="3" borderId="0" applyNumberFormat="0" applyBorder="0" applyAlignment="0" applyProtection="0"/>
    <xf numFmtId="0" fontId="11" fillId="6" borderId="0" applyNumberFormat="0" applyBorder="0" applyAlignment="0" applyProtection="0"/>
    <xf numFmtId="0" fontId="1" fillId="0" borderId="0"/>
  </cellStyleXfs>
  <cellXfs count="30">
    <xf numFmtId="0" fontId="0" fillId="0" borderId="0" xfId="0"/>
    <xf numFmtId="0" fontId="0" fillId="0" borderId="4" xfId="0" applyBorder="1"/>
    <xf numFmtId="9" fontId="0" fillId="0" borderId="4" xfId="0" applyNumberFormat="1" applyBorder="1"/>
    <xf numFmtId="0" fontId="9" fillId="0" borderId="4" xfId="0" applyFont="1" applyBorder="1"/>
    <xf numFmtId="0" fontId="9" fillId="4" borderId="4" xfId="0" applyFont="1" applyFill="1" applyBorder="1"/>
    <xf numFmtId="2" fontId="0" fillId="0" borderId="4" xfId="0" applyNumberFormat="1" applyBorder="1"/>
    <xf numFmtId="0" fontId="4" fillId="5" borderId="4" xfId="5" applyFill="1" applyBorder="1"/>
    <xf numFmtId="0" fontId="3" fillId="5" borderId="4" xfId="3" applyFill="1" applyBorder="1" applyAlignment="1">
      <alignment horizontal="center"/>
    </xf>
    <xf numFmtId="0" fontId="6" fillId="5" borderId="4" xfId="5" applyFont="1" applyFill="1" applyBorder="1"/>
    <xf numFmtId="0" fontId="3" fillId="5" borderId="4" xfId="3" applyFill="1" applyBorder="1"/>
    <xf numFmtId="0" fontId="2" fillId="0" borderId="4" xfId="7" applyFill="1" applyBorder="1"/>
    <xf numFmtId="0" fontId="6" fillId="5" borderId="4" xfId="4" applyFont="1" applyFill="1" applyBorder="1"/>
    <xf numFmtId="0" fontId="8" fillId="5" borderId="4" xfId="5" applyFont="1" applyFill="1" applyBorder="1"/>
    <xf numFmtId="0" fontId="7" fillId="5" borderId="4" xfId="3" applyFont="1" applyFill="1" applyBorder="1" applyAlignment="1">
      <alignment horizontal="center"/>
    </xf>
    <xf numFmtId="0" fontId="5" fillId="2" borderId="3" xfId="6"/>
    <xf numFmtId="0" fontId="0" fillId="5" borderId="4" xfId="0" applyFill="1" applyBorder="1"/>
    <xf numFmtId="14" fontId="0" fillId="0" borderId="4" xfId="0" applyNumberFormat="1" applyBorder="1"/>
    <xf numFmtId="6" fontId="0" fillId="0" borderId="4" xfId="0" applyNumberFormat="1" applyBorder="1"/>
    <xf numFmtId="9" fontId="0" fillId="0" borderId="0" xfId="2" applyFont="1"/>
    <xf numFmtId="9" fontId="5" fillId="2" borderId="3" xfId="2" applyFont="1" applyFill="1" applyBorder="1"/>
    <xf numFmtId="0" fontId="5" fillId="2" borderId="3" xfId="6" quotePrefix="1"/>
    <xf numFmtId="0" fontId="1" fillId="0" borderId="0" xfId="9"/>
    <xf numFmtId="14" fontId="1" fillId="0" borderId="0" xfId="9" applyNumberFormat="1"/>
    <xf numFmtId="0" fontId="11" fillId="6" borderId="0" xfId="8"/>
    <xf numFmtId="0" fontId="5" fillId="2" borderId="4" xfId="6" applyNumberFormat="1" applyBorder="1"/>
    <xf numFmtId="0" fontId="0" fillId="0" borderId="4" xfId="1" applyNumberFormat="1" applyFont="1" applyBorder="1"/>
    <xf numFmtId="0" fontId="0" fillId="0" borderId="0" xfId="0" applyNumberFormat="1"/>
    <xf numFmtId="0" fontId="0" fillId="0" borderId="0" xfId="1" applyNumberFormat="1" applyFont="1" applyBorder="1"/>
    <xf numFmtId="0" fontId="11" fillId="6" borderId="0" xfId="8" applyNumberFormat="1"/>
    <xf numFmtId="0" fontId="1" fillId="0" borderId="0" xfId="9" applyNumberFormat="1"/>
  </cellXfs>
  <cellStyles count="10">
    <cellStyle name="20% - Accent1" xfId="7" builtinId="30"/>
    <cellStyle name="Accent6" xfId="8" builtinId="49"/>
    <cellStyle name="Currency" xfId="1" builtinId="4"/>
    <cellStyle name="Heading 1" xfId="3" builtinId="16"/>
    <cellStyle name="Heading 3" xfId="4" builtinId="18"/>
    <cellStyle name="Heading 4" xfId="5" builtinId="19"/>
    <cellStyle name="Normal" xfId="0" builtinId="0"/>
    <cellStyle name="Normal 2" xfId="9" xr:uid="{1D9D6818-83D2-4FA3-AF5E-33B429304155}"/>
    <cellStyle name="Output" xfId="6" builtinId="2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409575</xdr:colOff>
      <xdr:row>2</xdr:row>
      <xdr:rowOff>38100</xdr:rowOff>
    </xdr:from>
    <xdr:to>
      <xdr:col>21</xdr:col>
      <xdr:colOff>671461</xdr:colOff>
      <xdr:row>14</xdr:row>
      <xdr:rowOff>90608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886EC27-587F-4025-AE45-9DE8D0598E5A}"/>
            </a:ext>
          </a:extLst>
        </xdr:cNvPr>
        <xdr:cNvGrpSpPr/>
      </xdr:nvGrpSpPr>
      <xdr:grpSpPr>
        <a:xfrm>
          <a:off x="18078450" y="514350"/>
          <a:ext cx="7167511" cy="2433758"/>
          <a:chOff x="12085760" y="142142"/>
          <a:chExt cx="6107724" cy="2031449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F6D5215D-4DFC-4609-9772-6430914E98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275950" y="1782999"/>
            <a:ext cx="4200460" cy="390592"/>
          </a:xfrm>
          <a:prstGeom prst="rect">
            <a:avLst/>
          </a:prstGeom>
        </xdr:spPr>
      </xdr:pic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9EB9E8D0-16B4-4AA8-8EB9-F7F8A26F194F}"/>
              </a:ext>
            </a:extLst>
          </xdr:cNvPr>
          <xdr:cNvSpPr txBox="1"/>
        </xdr:nvSpPr>
        <xdr:spPr>
          <a:xfrm>
            <a:off x="12085760" y="142142"/>
            <a:ext cx="6107724" cy="15943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Lookup_value: </a:t>
            </a:r>
            <a:r>
              <a:rPr lang="en-US" sz="1400"/>
              <a:t>must be found</a:t>
            </a:r>
            <a:r>
              <a:rPr lang="en-US" sz="1400" baseline="0"/>
              <a:t> in the first column of the table_array.</a:t>
            </a:r>
          </a:p>
          <a:p>
            <a:endParaRPr lang="en-US" sz="1400" baseline="0"/>
          </a:p>
          <a:p>
            <a:r>
              <a:rPr lang="en-US" sz="1400" b="1" baseline="0"/>
              <a:t>Table_array</a:t>
            </a:r>
            <a:r>
              <a:rPr lang="en-US" sz="1400" baseline="0"/>
              <a:t>: A list/ table that has 2 or more columns.</a:t>
            </a:r>
          </a:p>
          <a:p>
            <a:endParaRPr lang="en-US" sz="1400" baseline="0"/>
          </a:p>
          <a:p>
            <a:r>
              <a:rPr lang="en-US" sz="1400" b="1" baseline="0"/>
              <a:t>Col_num_index: </a:t>
            </a:r>
            <a:r>
              <a:rPr lang="en-US" sz="1400" baseline="0"/>
              <a:t>the column position within the table_array of the data you want returned.</a:t>
            </a:r>
          </a:p>
          <a:p>
            <a:endParaRPr lang="en-US" sz="1400" baseline="0"/>
          </a:p>
          <a:p>
            <a:r>
              <a:rPr lang="en-US" sz="1400" b="1" baseline="0"/>
              <a:t>[Range_lookup]: </a:t>
            </a:r>
            <a:r>
              <a:rPr lang="en-US" sz="1400" baseline="0"/>
              <a:t>Optional[]  </a:t>
            </a:r>
            <a:r>
              <a:rPr lang="en-US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Default:Approx Match =  True (1), </a:t>
            </a:r>
            <a:r>
              <a:rPr lang="en-US" sz="1400" baseline="0"/>
              <a:t>Exact Match  = False(0)</a:t>
            </a:r>
            <a:endParaRPr lang="en-US" sz="1400"/>
          </a:p>
        </xdr:txBody>
      </xdr:sp>
    </xdr:grpSp>
    <xdr:clientData/>
  </xdr:twoCellAnchor>
  <xdr:twoCellAnchor>
    <xdr:from>
      <xdr:col>13</xdr:col>
      <xdr:colOff>127701</xdr:colOff>
      <xdr:row>17</xdr:row>
      <xdr:rowOff>106763</xdr:rowOff>
    </xdr:from>
    <xdr:to>
      <xdr:col>20</xdr:col>
      <xdr:colOff>679741</xdr:colOff>
      <xdr:row>30</xdr:row>
      <xdr:rowOff>29243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476B4F1A-DEA2-4631-90EF-9A7A1DA92819}"/>
            </a:ext>
          </a:extLst>
        </xdr:cNvPr>
        <xdr:cNvGrpSpPr/>
      </xdr:nvGrpSpPr>
      <xdr:grpSpPr>
        <a:xfrm>
          <a:off x="19177701" y="3535763"/>
          <a:ext cx="5385978" cy="2398980"/>
          <a:chOff x="4702629" y="76199"/>
          <a:chExt cx="5325218" cy="2398980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FFAC35D-8F2E-4648-B819-D17ECA960168}"/>
              </a:ext>
            </a:extLst>
          </xdr:cNvPr>
          <xdr:cNvSpPr txBox="1"/>
        </xdr:nvSpPr>
        <xdr:spPr>
          <a:xfrm>
            <a:off x="4718957" y="76199"/>
            <a:ext cx="5176157" cy="211727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Lookup_value: </a:t>
            </a:r>
            <a:r>
              <a:rPr lang="en-US" sz="1100"/>
              <a:t>value you would like to use to search</a:t>
            </a:r>
            <a:r>
              <a:rPr lang="en-US" sz="1100" baseline="0"/>
              <a:t> the list.</a:t>
            </a:r>
          </a:p>
          <a:p>
            <a:endParaRPr lang="en-US" sz="1100" baseline="0"/>
          </a:p>
          <a:p>
            <a:r>
              <a:rPr lang="en-US" sz="1100" b="1" baseline="0"/>
              <a:t>Lookup_array: </a:t>
            </a:r>
            <a:r>
              <a:rPr lang="en-US" sz="1100" baseline="0"/>
              <a:t>the column it can find the location of the </a:t>
            </a:r>
            <a:r>
              <a:rPr lang="en-US" sz="1100" b="1" baseline="0"/>
              <a:t>lookup_value </a:t>
            </a:r>
            <a:r>
              <a:rPr lang="en-US" sz="1100" baseline="0"/>
              <a:t>in.</a:t>
            </a:r>
          </a:p>
          <a:p>
            <a:endParaRPr lang="en-US" sz="1100" baseline="0"/>
          </a:p>
          <a:p>
            <a:r>
              <a:rPr lang="en-US" sz="1100" b="1" baseline="0"/>
              <a:t>Return_array: </a:t>
            </a:r>
            <a:r>
              <a:rPr lang="en-US" sz="1100" baseline="0"/>
              <a:t>the column you want returned that holds the value you are looking for</a:t>
            </a:r>
          </a:p>
          <a:p>
            <a:endParaRPr lang="en-US" sz="1100" baseline="0"/>
          </a:p>
          <a:p>
            <a:r>
              <a:rPr lang="en-US" sz="1100" b="1" baseline="0"/>
              <a:t>[if_not_found]: </a:t>
            </a:r>
            <a:r>
              <a:rPr lang="en-US" sz="1100" baseline="0"/>
              <a:t>error handling </a:t>
            </a:r>
          </a:p>
          <a:p>
            <a:endParaRPr lang="en-US" sz="1100" baseline="0"/>
          </a:p>
          <a:p>
            <a:r>
              <a:rPr lang="en-US" sz="1100" b="1" baseline="0"/>
              <a:t>[match_mode]: </a:t>
            </a:r>
            <a:r>
              <a:rPr lang="en-US" sz="1100" baseline="0"/>
              <a:t>default is now Exact match </a:t>
            </a:r>
          </a:p>
          <a:p>
            <a:endParaRPr lang="en-US" sz="1100" baseline="0"/>
          </a:p>
          <a:p>
            <a:r>
              <a:rPr lang="en-US" sz="1100" b="1" baseline="0"/>
              <a:t>[Search_mode]: </a:t>
            </a:r>
            <a:r>
              <a:rPr lang="en-US" sz="1100" baseline="0"/>
              <a:t>how the function will search through list, (top to bottom, or bottom to top, etc) </a:t>
            </a:r>
          </a:p>
          <a:p>
            <a:endParaRPr lang="en-US" sz="1100" baseline="0"/>
          </a:p>
        </xdr:txBody>
      </xdr:sp>
      <xdr:pic>
        <xdr:nvPicPr>
          <xdr:cNvPr id="6" name="Picture 5">
            <a:extLst>
              <a:ext uri="{FF2B5EF4-FFF2-40B4-BE49-F238E27FC236}">
                <a16:creationId xmlns:a16="http://schemas.microsoft.com/office/drawing/2014/main" id="{ADE73D37-9D45-4851-88C9-37BCECA78C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02629" y="2198915"/>
            <a:ext cx="5325218" cy="276264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58511</xdr:colOff>
      <xdr:row>32</xdr:row>
      <xdr:rowOff>95250</xdr:rowOff>
    </xdr:from>
    <xdr:to>
      <xdr:col>24</xdr:col>
      <xdr:colOff>437272</xdr:colOff>
      <xdr:row>62</xdr:row>
      <xdr:rowOff>17160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A2E16641-7EA8-4DCC-B4EE-ECA578BD7146}"/>
            </a:ext>
          </a:extLst>
        </xdr:cNvPr>
        <xdr:cNvGrpSpPr/>
      </xdr:nvGrpSpPr>
      <xdr:grpSpPr>
        <a:xfrm>
          <a:off x="17036824" y="6381750"/>
          <a:ext cx="10046636" cy="5636910"/>
          <a:chOff x="8120245" y="2185309"/>
          <a:chExt cx="10028464" cy="5686594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84A1430C-A2E2-46C9-BFD4-44A63B5B5F83}"/>
              </a:ext>
            </a:extLst>
          </xdr:cNvPr>
          <xdr:cNvGrpSpPr/>
        </xdr:nvGrpSpPr>
        <xdr:grpSpPr>
          <a:xfrm>
            <a:off x="8120245" y="2185309"/>
            <a:ext cx="10028464" cy="5646794"/>
            <a:chOff x="8218524" y="2185309"/>
            <a:chExt cx="8763000" cy="5646794"/>
          </a:xfrm>
        </xdr:grpSpPr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0C8EC554-7814-4D38-A15D-0003DF7E05E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556508" y="7211581"/>
              <a:ext cx="4809046" cy="620522"/>
            </a:xfrm>
            <a:prstGeom prst="rect">
              <a:avLst/>
            </a:prstGeom>
          </xdr:spPr>
        </xdr:pic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71015AD-6CDF-4C44-9491-BA7200E3F813}"/>
                </a:ext>
              </a:extLst>
            </xdr:cNvPr>
            <xdr:cNvSpPr txBox="1"/>
          </xdr:nvSpPr>
          <xdr:spPr>
            <a:xfrm>
              <a:off x="8218524" y="2185309"/>
              <a:ext cx="8763000" cy="518432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2800" b="1"/>
                <a:t>Array</a:t>
              </a:r>
              <a:r>
                <a:rPr lang="en-US" sz="2400"/>
                <a:t>: The column</a:t>
              </a:r>
              <a:r>
                <a:rPr lang="en-US" sz="2400" baseline="0"/>
                <a:t> that holds the value you want to return.</a:t>
              </a:r>
            </a:p>
            <a:p>
              <a:endParaRPr lang="en-US" sz="2400" baseline="0"/>
            </a:p>
            <a:p>
              <a:r>
                <a:rPr lang="en-US" sz="2800" b="1" baseline="0"/>
                <a:t>Lookup_value</a:t>
              </a:r>
              <a:r>
                <a:rPr lang="en-US" sz="2400" baseline="0"/>
                <a:t>: the value you want to use to search through the list</a:t>
              </a:r>
            </a:p>
            <a:p>
              <a:endParaRPr lang="en-US" sz="2400" baseline="0"/>
            </a:p>
            <a:p>
              <a:r>
                <a:rPr lang="en-US" sz="2800" b="1" baseline="0"/>
                <a:t>lookup_array: </a:t>
              </a:r>
              <a:r>
                <a:rPr lang="en-US" sz="2400" baseline="0"/>
                <a:t>the Column that holds the </a:t>
              </a:r>
              <a:r>
                <a:rPr lang="en-US" sz="2400" b="1" baseline="0"/>
                <a:t>lookup_value</a:t>
              </a:r>
            </a:p>
            <a:p>
              <a:endParaRPr lang="en-US" sz="2400" b="1" baseline="0"/>
            </a:p>
            <a:p>
              <a:r>
                <a:rPr lang="en-US" sz="2400" b="1" baseline="0"/>
                <a:t>[match_mode]: </a:t>
              </a:r>
              <a:r>
                <a:rPr lang="en-US" sz="2400" b="0" baseline="0"/>
                <a:t>Exact match is default.</a:t>
              </a:r>
            </a:p>
            <a:p>
              <a:endParaRPr lang="en-US" sz="2400" b="0" baseline="0"/>
            </a:p>
            <a:p>
              <a:r>
                <a:rPr lang="en-US" sz="2400" b="1" baseline="0"/>
                <a:t>[Search_mode]: </a:t>
              </a:r>
              <a:r>
                <a:rPr lang="en-US" sz="2400" b="0" baseline="0"/>
                <a:t>How the function searches the list.</a:t>
              </a:r>
            </a:p>
            <a:p>
              <a:endParaRPr lang="en-US" sz="2400" b="1"/>
            </a:p>
          </xdr:txBody>
        </xdr:sp>
      </xdr:grpSp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614AC4E-E504-41F9-9DB9-5824D87B9B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0368887" y="7481351"/>
            <a:ext cx="7104360" cy="39055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EDEC-87A0-49C2-A8FB-076CD03A80A4}">
  <dimension ref="A1:G100"/>
  <sheetViews>
    <sheetView zoomScale="40" zoomScaleNormal="40" workbookViewId="0">
      <selection activeCell="B2" sqref="B2"/>
    </sheetView>
  </sheetViews>
  <sheetFormatPr defaultRowHeight="15" x14ac:dyDescent="0.25"/>
  <cols>
    <col min="1" max="1" width="35.875" style="21" bestFit="1" customWidth="1"/>
    <col min="2" max="2" width="25.5" style="29" bestFit="1" customWidth="1"/>
    <col min="3" max="3" width="13" style="21" bestFit="1" customWidth="1"/>
    <col min="4" max="4" width="4.5" style="21" bestFit="1" customWidth="1"/>
    <col min="5" max="5" width="55.875" style="21" bestFit="1" customWidth="1"/>
    <col min="6" max="6" width="11" style="21" bestFit="1" customWidth="1"/>
    <col min="7" max="7" width="49.75" style="21" bestFit="1" customWidth="1"/>
    <col min="8" max="16384" width="9" style="21"/>
  </cols>
  <sheetData>
    <row r="1" spans="1:7" customFormat="1" ht="18.75" x14ac:dyDescent="0.3">
      <c r="A1" s="8" t="s">
        <v>2</v>
      </c>
      <c r="B1" s="29" t="s">
        <v>60</v>
      </c>
    </row>
    <row r="2" spans="1:7" customFormat="1" ht="18.75" x14ac:dyDescent="0.3">
      <c r="A2" s="8" t="s">
        <v>306</v>
      </c>
      <c r="B2" s="24">
        <f>VLOOKUP(B1,A8:G100,2,FALSE)</f>
        <v>6.1</v>
      </c>
    </row>
    <row r="3" spans="1:7" customFormat="1" ht="18.75" x14ac:dyDescent="0.3">
      <c r="A3" s="8" t="s">
        <v>307</v>
      </c>
      <c r="B3" s="24">
        <f>_xlfn.XLOOKUP(B1,A8:A100,B8:B100)</f>
        <v>6.1</v>
      </c>
    </row>
    <row r="4" spans="1:7" customFormat="1" ht="18.75" x14ac:dyDescent="0.3">
      <c r="A4" s="8" t="s">
        <v>52</v>
      </c>
      <c r="B4" s="25" cm="1">
        <f t="array" ref="B4">INDEX(B8:B100,_xlfn.XMATCH(B1,A8:A100))</f>
        <v>6.1</v>
      </c>
    </row>
    <row r="5" spans="1:7" customFormat="1" ht="15.75" x14ac:dyDescent="0.25">
      <c r="B5" s="26"/>
    </row>
    <row r="6" spans="1:7" customFormat="1" ht="15.75" x14ac:dyDescent="0.25">
      <c r="B6" s="27"/>
    </row>
    <row r="7" spans="1:7" x14ac:dyDescent="0.25">
      <c r="A7" s="23" t="s">
        <v>53</v>
      </c>
      <c r="B7" s="28" t="s">
        <v>54</v>
      </c>
      <c r="C7" s="23" t="s">
        <v>55</v>
      </c>
      <c r="D7" s="23" t="s">
        <v>56</v>
      </c>
      <c r="E7" s="23" t="s">
        <v>57</v>
      </c>
      <c r="F7" s="23" t="s">
        <v>58</v>
      </c>
      <c r="G7" s="23" t="s">
        <v>59</v>
      </c>
    </row>
    <row r="8" spans="1:7" x14ac:dyDescent="0.25">
      <c r="A8" s="21" t="s">
        <v>60</v>
      </c>
      <c r="B8" s="29">
        <v>6.1</v>
      </c>
      <c r="C8" s="21">
        <v>97</v>
      </c>
      <c r="D8" s="21">
        <v>2021</v>
      </c>
      <c r="E8" s="21" t="s">
        <v>61</v>
      </c>
      <c r="F8" s="22">
        <v>44453</v>
      </c>
      <c r="G8" s="21" t="s">
        <v>62</v>
      </c>
    </row>
    <row r="9" spans="1:7" x14ac:dyDescent="0.25">
      <c r="A9" s="21" t="s">
        <v>63</v>
      </c>
      <c r="B9" s="29">
        <v>5.4</v>
      </c>
      <c r="C9" s="21">
        <v>93</v>
      </c>
      <c r="D9" s="21">
        <v>2021</v>
      </c>
      <c r="E9" s="21" t="s">
        <v>64</v>
      </c>
      <c r="F9" s="22">
        <v>44469</v>
      </c>
      <c r="G9" s="21" t="s">
        <v>65</v>
      </c>
    </row>
    <row r="10" spans="1:7" x14ac:dyDescent="0.25">
      <c r="A10" s="21" t="s">
        <v>66</v>
      </c>
      <c r="B10" s="29">
        <v>7.4</v>
      </c>
      <c r="C10" s="21">
        <v>163</v>
      </c>
      <c r="D10" s="21">
        <v>2021</v>
      </c>
      <c r="E10" s="21" t="s">
        <v>67</v>
      </c>
      <c r="F10" s="22">
        <v>44467</v>
      </c>
      <c r="G10" s="21" t="s">
        <v>68</v>
      </c>
    </row>
    <row r="11" spans="1:7" x14ac:dyDescent="0.25">
      <c r="A11" s="21" t="s">
        <v>69</v>
      </c>
      <c r="B11" s="29">
        <v>5.7</v>
      </c>
      <c r="C11" s="21">
        <v>105</v>
      </c>
      <c r="D11" s="21">
        <v>2021</v>
      </c>
      <c r="E11" s="21" t="s">
        <v>70</v>
      </c>
      <c r="F11" s="22">
        <v>44447</v>
      </c>
      <c r="G11" s="21" t="s">
        <v>71</v>
      </c>
    </row>
    <row r="12" spans="1:7" x14ac:dyDescent="0.25">
      <c r="A12" s="21" t="s">
        <v>72</v>
      </c>
      <c r="B12" s="29">
        <v>7.7</v>
      </c>
      <c r="C12" s="21">
        <v>152</v>
      </c>
      <c r="D12" s="21">
        <v>2021</v>
      </c>
      <c r="E12" s="21" t="s">
        <v>73</v>
      </c>
      <c r="F12" s="22">
        <v>44449</v>
      </c>
      <c r="G12" s="21" t="s">
        <v>74</v>
      </c>
    </row>
    <row r="13" spans="1:7" x14ac:dyDescent="0.25">
      <c r="A13" s="21" t="s">
        <v>75</v>
      </c>
      <c r="B13" s="29">
        <v>8.1999999999999993</v>
      </c>
      <c r="C13" s="21">
        <v>155</v>
      </c>
      <c r="D13" s="21">
        <v>2021</v>
      </c>
      <c r="E13" s="21" t="s">
        <v>76</v>
      </c>
      <c r="F13" s="22">
        <v>44442</v>
      </c>
      <c r="G13" s="21" t="s">
        <v>77</v>
      </c>
    </row>
    <row r="14" spans="1:7" x14ac:dyDescent="0.25">
      <c r="A14" s="21" t="s">
        <v>78</v>
      </c>
      <c r="B14" s="29">
        <v>7.5</v>
      </c>
      <c r="C14" s="21">
        <v>107</v>
      </c>
      <c r="D14" s="21">
        <v>2021</v>
      </c>
      <c r="E14" s="21" t="s">
        <v>79</v>
      </c>
      <c r="F14" s="22">
        <v>44389</v>
      </c>
      <c r="G14" s="21" t="s">
        <v>80</v>
      </c>
    </row>
    <row r="15" spans="1:7" x14ac:dyDescent="0.25">
      <c r="A15" s="21" t="s">
        <v>81</v>
      </c>
      <c r="B15" s="29">
        <v>7.2</v>
      </c>
      <c r="C15" s="21">
        <v>107</v>
      </c>
      <c r="D15" s="21">
        <v>2021</v>
      </c>
      <c r="E15" s="21" t="s">
        <v>82</v>
      </c>
      <c r="F15" s="22">
        <v>44363</v>
      </c>
      <c r="G15" s="21" t="s">
        <v>83</v>
      </c>
    </row>
    <row r="16" spans="1:7" x14ac:dyDescent="0.25">
      <c r="A16" s="21" t="s">
        <v>84</v>
      </c>
      <c r="B16" s="29">
        <v>7.3</v>
      </c>
      <c r="C16" s="21">
        <v>116</v>
      </c>
      <c r="D16" s="21">
        <v>2021</v>
      </c>
      <c r="E16" s="21" t="s">
        <v>85</v>
      </c>
      <c r="F16" s="22">
        <v>44443</v>
      </c>
      <c r="G16" s="21" t="s">
        <v>86</v>
      </c>
    </row>
    <row r="17" spans="1:7" x14ac:dyDescent="0.25">
      <c r="A17" s="21" t="s">
        <v>87</v>
      </c>
      <c r="B17" s="29">
        <v>6.3</v>
      </c>
      <c r="C17" s="21">
        <v>99</v>
      </c>
      <c r="D17" s="21">
        <v>2021</v>
      </c>
      <c r="E17" s="21" t="s">
        <v>88</v>
      </c>
      <c r="F17" s="22">
        <v>44480</v>
      </c>
      <c r="G17" s="21" t="s">
        <v>89</v>
      </c>
    </row>
    <row r="18" spans="1:7" x14ac:dyDescent="0.25">
      <c r="A18" s="21" t="s">
        <v>90</v>
      </c>
      <c r="B18" s="29">
        <v>6.8</v>
      </c>
      <c r="C18" s="21">
        <v>156</v>
      </c>
      <c r="D18" s="21">
        <v>2021</v>
      </c>
      <c r="E18" s="21" t="s">
        <v>91</v>
      </c>
      <c r="F18" s="22">
        <v>44487</v>
      </c>
      <c r="G18" s="21" t="s">
        <v>92</v>
      </c>
    </row>
    <row r="19" spans="1:7" x14ac:dyDescent="0.25">
      <c r="A19" s="21" t="s">
        <v>93</v>
      </c>
      <c r="B19" s="29">
        <v>6.9</v>
      </c>
      <c r="C19" s="21">
        <v>115</v>
      </c>
      <c r="D19" s="21">
        <v>2021</v>
      </c>
      <c r="E19" s="21" t="s">
        <v>94</v>
      </c>
      <c r="F19" s="22">
        <v>44505</v>
      </c>
      <c r="G19" s="21" t="s">
        <v>95</v>
      </c>
    </row>
    <row r="20" spans="1:7" x14ac:dyDescent="0.25">
      <c r="A20" s="21" t="s">
        <v>96</v>
      </c>
      <c r="B20" s="29">
        <v>6</v>
      </c>
      <c r="C20" s="21">
        <v>96</v>
      </c>
      <c r="D20" s="21">
        <v>2021</v>
      </c>
      <c r="E20" s="21" t="s">
        <v>97</v>
      </c>
      <c r="F20" s="22">
        <v>44510</v>
      </c>
      <c r="G20" s="21" t="s">
        <v>98</v>
      </c>
    </row>
    <row r="21" spans="1:7" x14ac:dyDescent="0.25">
      <c r="A21" s="21" t="s">
        <v>99</v>
      </c>
      <c r="B21" s="29">
        <v>7.7</v>
      </c>
      <c r="C21" s="21">
        <v>124</v>
      </c>
      <c r="D21" s="21">
        <v>2021</v>
      </c>
      <c r="E21" s="21" t="s">
        <v>100</v>
      </c>
      <c r="F21" s="22">
        <v>44477</v>
      </c>
      <c r="G21" s="21" t="s">
        <v>101</v>
      </c>
    </row>
    <row r="22" spans="1:7" x14ac:dyDescent="0.25">
      <c r="A22" s="21" t="s">
        <v>102</v>
      </c>
      <c r="B22" s="29">
        <v>7.6</v>
      </c>
      <c r="C22" s="21">
        <v>144</v>
      </c>
      <c r="D22" s="21">
        <v>2021</v>
      </c>
      <c r="E22" s="21" t="s">
        <v>103</v>
      </c>
      <c r="F22" s="22">
        <v>44441</v>
      </c>
      <c r="G22" s="21" t="s">
        <v>104</v>
      </c>
    </row>
    <row r="23" spans="1:7" x14ac:dyDescent="0.25">
      <c r="A23" s="21" t="s">
        <v>105</v>
      </c>
      <c r="B23" s="29">
        <v>7.7</v>
      </c>
      <c r="C23" s="21">
        <v>99</v>
      </c>
      <c r="D23" s="21">
        <v>2021</v>
      </c>
      <c r="E23" s="21" t="s">
        <v>106</v>
      </c>
      <c r="F23" s="22">
        <v>44503</v>
      </c>
      <c r="G23" s="21" t="s">
        <v>107</v>
      </c>
    </row>
    <row r="24" spans="1:7" x14ac:dyDescent="0.25">
      <c r="A24" s="21" t="s">
        <v>108</v>
      </c>
      <c r="C24" s="21">
        <v>156</v>
      </c>
      <c r="D24" s="21">
        <v>2021</v>
      </c>
      <c r="E24" s="21" t="s">
        <v>109</v>
      </c>
      <c r="F24" s="22">
        <v>44538</v>
      </c>
      <c r="G24" s="21" t="s">
        <v>110</v>
      </c>
    </row>
    <row r="25" spans="1:7" x14ac:dyDescent="0.25">
      <c r="A25" s="21" t="s">
        <v>111</v>
      </c>
      <c r="D25" s="21">
        <v>2021</v>
      </c>
      <c r="E25" s="21" t="s">
        <v>112</v>
      </c>
      <c r="F25" s="22">
        <v>44545</v>
      </c>
      <c r="G25" s="21" t="s">
        <v>113</v>
      </c>
    </row>
    <row r="26" spans="1:7" x14ac:dyDescent="0.25">
      <c r="A26" s="21" t="s">
        <v>114</v>
      </c>
      <c r="C26" s="21">
        <v>148</v>
      </c>
      <c r="D26" s="21">
        <v>2021</v>
      </c>
      <c r="E26" s="21" t="s">
        <v>115</v>
      </c>
      <c r="F26" s="22">
        <v>44546</v>
      </c>
      <c r="G26" s="21" t="s">
        <v>116</v>
      </c>
    </row>
    <row r="27" spans="1:7" x14ac:dyDescent="0.25">
      <c r="A27" s="21" t="s">
        <v>117</v>
      </c>
      <c r="B27" s="29">
        <v>6.9</v>
      </c>
      <c r="C27" s="21">
        <v>112</v>
      </c>
      <c r="D27" s="21">
        <v>2021</v>
      </c>
      <c r="E27" s="21" t="s">
        <v>118</v>
      </c>
      <c r="F27" s="22">
        <v>44514</v>
      </c>
      <c r="G27" s="21" t="s">
        <v>119</v>
      </c>
    </row>
    <row r="28" spans="1:7" x14ac:dyDescent="0.25">
      <c r="A28" s="21" t="s">
        <v>120</v>
      </c>
      <c r="C28" s="21">
        <v>131</v>
      </c>
      <c r="D28" s="21">
        <v>2021</v>
      </c>
      <c r="E28" s="21" t="s">
        <v>121</v>
      </c>
      <c r="F28" s="22">
        <v>44552</v>
      </c>
      <c r="G28" s="21" t="s">
        <v>122</v>
      </c>
    </row>
    <row r="29" spans="1:7" x14ac:dyDescent="0.25">
      <c r="A29" s="21" t="s">
        <v>123</v>
      </c>
      <c r="C29" s="21">
        <v>114</v>
      </c>
      <c r="D29" s="21">
        <v>2022</v>
      </c>
      <c r="E29" s="21" t="s">
        <v>124</v>
      </c>
      <c r="F29" s="22">
        <v>44573</v>
      </c>
      <c r="G29" s="21" t="s">
        <v>125</v>
      </c>
    </row>
    <row r="30" spans="1:7" x14ac:dyDescent="0.25">
      <c r="A30" s="21" t="s">
        <v>126</v>
      </c>
      <c r="D30" s="21">
        <v>2022</v>
      </c>
      <c r="E30" s="21" t="s">
        <v>127</v>
      </c>
      <c r="F30" s="22">
        <v>44574</v>
      </c>
      <c r="G30" s="21" t="s">
        <v>128</v>
      </c>
    </row>
    <row r="31" spans="1:7" x14ac:dyDescent="0.25">
      <c r="A31" s="21" t="s">
        <v>129</v>
      </c>
      <c r="D31" s="21">
        <v>2022</v>
      </c>
      <c r="E31" s="21" t="s">
        <v>130</v>
      </c>
      <c r="F31" s="22">
        <v>44574</v>
      </c>
      <c r="G31" s="21" t="s">
        <v>131</v>
      </c>
    </row>
    <row r="32" spans="1:7" x14ac:dyDescent="0.25">
      <c r="A32" s="21" t="s">
        <v>132</v>
      </c>
      <c r="D32" s="21">
        <v>2022</v>
      </c>
      <c r="E32" s="21" t="s">
        <v>133</v>
      </c>
      <c r="F32" s="22">
        <v>44785</v>
      </c>
      <c r="G32" s="21" t="s">
        <v>134</v>
      </c>
    </row>
    <row r="33" spans="1:7" x14ac:dyDescent="0.25">
      <c r="A33" s="21" t="s">
        <v>135</v>
      </c>
      <c r="D33" s="21">
        <v>2022</v>
      </c>
      <c r="E33" s="21" t="s">
        <v>136</v>
      </c>
      <c r="F33" s="22">
        <v>44566</v>
      </c>
      <c r="G33" s="21" t="s">
        <v>137</v>
      </c>
    </row>
    <row r="34" spans="1:7" x14ac:dyDescent="0.25">
      <c r="A34" s="21" t="s">
        <v>138</v>
      </c>
      <c r="D34" s="21">
        <v>2022</v>
      </c>
      <c r="E34" s="21" t="s">
        <v>139</v>
      </c>
      <c r="F34" s="22">
        <v>44574</v>
      </c>
      <c r="G34" s="21" t="s">
        <v>140</v>
      </c>
    </row>
    <row r="35" spans="1:7" x14ac:dyDescent="0.25">
      <c r="A35" s="21" t="s">
        <v>141</v>
      </c>
      <c r="D35" s="21">
        <v>2022</v>
      </c>
      <c r="E35" s="21" t="s">
        <v>142</v>
      </c>
      <c r="F35" s="22">
        <v>44581</v>
      </c>
      <c r="G35" s="21" t="s">
        <v>143</v>
      </c>
    </row>
    <row r="36" spans="1:7" x14ac:dyDescent="0.25">
      <c r="A36" s="21" t="s">
        <v>144</v>
      </c>
      <c r="C36" s="21">
        <v>96</v>
      </c>
      <c r="D36" s="21">
        <v>2022</v>
      </c>
      <c r="E36" s="21" t="s">
        <v>145</v>
      </c>
      <c r="F36" s="22">
        <v>44595</v>
      </c>
      <c r="G36" s="21" t="s">
        <v>146</v>
      </c>
    </row>
    <row r="37" spans="1:7" x14ac:dyDescent="0.25">
      <c r="A37" s="21" t="s">
        <v>147</v>
      </c>
      <c r="D37" s="21">
        <v>2022</v>
      </c>
      <c r="E37" s="21" t="s">
        <v>148</v>
      </c>
      <c r="F37" s="22">
        <v>44601</v>
      </c>
      <c r="G37" s="21" t="s">
        <v>149</v>
      </c>
    </row>
    <row r="38" spans="1:7" x14ac:dyDescent="0.25">
      <c r="A38" s="21" t="s">
        <v>150</v>
      </c>
      <c r="D38" s="21">
        <v>2022</v>
      </c>
      <c r="E38" s="21" t="s">
        <v>151</v>
      </c>
      <c r="F38" s="22">
        <v>44602</v>
      </c>
      <c r="G38" s="21" t="s">
        <v>152</v>
      </c>
    </row>
    <row r="39" spans="1:7" x14ac:dyDescent="0.25">
      <c r="A39" s="21" t="s">
        <v>153</v>
      </c>
      <c r="D39" s="21">
        <v>2021</v>
      </c>
      <c r="E39" s="21" t="s">
        <v>154</v>
      </c>
      <c r="F39" s="22">
        <v>44545</v>
      </c>
      <c r="G39" s="21" t="s">
        <v>155</v>
      </c>
    </row>
    <row r="40" spans="1:7" x14ac:dyDescent="0.25">
      <c r="A40" s="21" t="s">
        <v>156</v>
      </c>
      <c r="D40" s="21">
        <v>2022</v>
      </c>
      <c r="E40" s="21" t="s">
        <v>157</v>
      </c>
      <c r="F40" s="22">
        <v>44610</v>
      </c>
      <c r="G40" s="21" t="s">
        <v>158</v>
      </c>
    </row>
    <row r="41" spans="1:7" x14ac:dyDescent="0.25">
      <c r="A41" s="21" t="s">
        <v>159</v>
      </c>
      <c r="D41" s="21">
        <v>2022</v>
      </c>
      <c r="E41" s="21" t="s">
        <v>160</v>
      </c>
      <c r="F41" s="22">
        <v>44622</v>
      </c>
      <c r="G41" s="21" t="s">
        <v>161</v>
      </c>
    </row>
    <row r="42" spans="1:7" x14ac:dyDescent="0.25">
      <c r="A42" s="21" t="s">
        <v>162</v>
      </c>
      <c r="C42" s="21">
        <v>89</v>
      </c>
      <c r="D42" s="21">
        <v>2023</v>
      </c>
      <c r="E42" s="21" t="s">
        <v>163</v>
      </c>
      <c r="F42" s="22">
        <v>45225</v>
      </c>
      <c r="G42" s="21" t="s">
        <v>164</v>
      </c>
    </row>
    <row r="43" spans="1:7" x14ac:dyDescent="0.25">
      <c r="A43" s="21" t="s">
        <v>165</v>
      </c>
      <c r="D43" s="21">
        <v>2022</v>
      </c>
      <c r="E43" s="21" t="s">
        <v>157</v>
      </c>
      <c r="F43" s="22">
        <v>44630</v>
      </c>
      <c r="G43" s="21" t="s">
        <v>166</v>
      </c>
    </row>
    <row r="44" spans="1:7" x14ac:dyDescent="0.25">
      <c r="A44" s="21" t="s">
        <v>167</v>
      </c>
      <c r="D44" s="21">
        <v>2022</v>
      </c>
      <c r="E44" s="21" t="s">
        <v>168</v>
      </c>
      <c r="F44" s="22">
        <v>44651</v>
      </c>
      <c r="G44" s="21" t="s">
        <v>169</v>
      </c>
    </row>
    <row r="45" spans="1:7" x14ac:dyDescent="0.25">
      <c r="A45" s="21" t="s">
        <v>170</v>
      </c>
      <c r="D45" s="21">
        <v>2022</v>
      </c>
      <c r="E45" s="21" t="s">
        <v>171</v>
      </c>
      <c r="F45" s="22">
        <v>44644</v>
      </c>
      <c r="G45" s="21" t="s">
        <v>172</v>
      </c>
    </row>
    <row r="46" spans="1:7" x14ac:dyDescent="0.25">
      <c r="A46" s="21" t="s">
        <v>173</v>
      </c>
      <c r="D46" s="21">
        <v>2022</v>
      </c>
      <c r="E46" s="21" t="s">
        <v>174</v>
      </c>
      <c r="F46" s="22">
        <v>44673</v>
      </c>
      <c r="G46" s="21" t="s">
        <v>175</v>
      </c>
    </row>
    <row r="47" spans="1:7" x14ac:dyDescent="0.25">
      <c r="A47" s="21" t="s">
        <v>176</v>
      </c>
      <c r="D47" s="21">
        <v>2022</v>
      </c>
      <c r="E47" s="21" t="s">
        <v>177</v>
      </c>
      <c r="F47" s="22">
        <v>44799</v>
      </c>
      <c r="G47" s="21" t="s">
        <v>178</v>
      </c>
    </row>
    <row r="48" spans="1:7" x14ac:dyDescent="0.25">
      <c r="A48" s="21" t="s">
        <v>179</v>
      </c>
      <c r="D48" s="21">
        <v>2022</v>
      </c>
      <c r="E48" s="21" t="s">
        <v>180</v>
      </c>
      <c r="F48" s="22">
        <v>44685</v>
      </c>
      <c r="G48" s="21" t="s">
        <v>181</v>
      </c>
    </row>
    <row r="49" spans="1:7" x14ac:dyDescent="0.25">
      <c r="A49" s="21" t="s">
        <v>182</v>
      </c>
      <c r="D49" s="21">
        <v>2022</v>
      </c>
      <c r="E49" s="21" t="s">
        <v>183</v>
      </c>
      <c r="F49" s="22">
        <v>44700</v>
      </c>
      <c r="G49" s="21" t="s">
        <v>184</v>
      </c>
    </row>
    <row r="50" spans="1:7" x14ac:dyDescent="0.25">
      <c r="A50" s="21" t="s">
        <v>185</v>
      </c>
      <c r="D50" s="21">
        <v>2022</v>
      </c>
      <c r="E50" s="21" t="s">
        <v>186</v>
      </c>
      <c r="F50" s="22">
        <v>44706</v>
      </c>
      <c r="G50" s="21" t="s">
        <v>187</v>
      </c>
    </row>
    <row r="51" spans="1:7" x14ac:dyDescent="0.25">
      <c r="A51" s="21" t="s">
        <v>188</v>
      </c>
      <c r="D51" s="21">
        <v>2022</v>
      </c>
      <c r="E51" s="21" t="s">
        <v>189</v>
      </c>
      <c r="F51" s="22">
        <v>44706</v>
      </c>
      <c r="G51" s="21" t="s">
        <v>190</v>
      </c>
    </row>
    <row r="52" spans="1:7" x14ac:dyDescent="0.25">
      <c r="A52" s="21" t="s">
        <v>191</v>
      </c>
      <c r="D52" s="21">
        <v>2022</v>
      </c>
      <c r="E52" s="21" t="s">
        <v>192</v>
      </c>
      <c r="F52" s="22">
        <v>44700</v>
      </c>
      <c r="G52" s="21" t="s">
        <v>193</v>
      </c>
    </row>
    <row r="53" spans="1:7" x14ac:dyDescent="0.25">
      <c r="A53" s="21" t="s">
        <v>194</v>
      </c>
      <c r="D53" s="21">
        <v>2022</v>
      </c>
      <c r="E53" s="21" t="s">
        <v>195</v>
      </c>
      <c r="F53" s="22">
        <v>44736</v>
      </c>
      <c r="G53" s="21" t="s">
        <v>196</v>
      </c>
    </row>
    <row r="54" spans="1:7" x14ac:dyDescent="0.25">
      <c r="A54" s="21" t="s">
        <v>197</v>
      </c>
      <c r="D54" s="21">
        <v>2022</v>
      </c>
      <c r="E54" s="21" t="s">
        <v>61</v>
      </c>
      <c r="F54" s="22">
        <v>44720</v>
      </c>
      <c r="G54" s="21" t="s">
        <v>198</v>
      </c>
    </row>
    <row r="55" spans="1:7" x14ac:dyDescent="0.25">
      <c r="A55" s="21" t="s">
        <v>199</v>
      </c>
      <c r="D55" s="21">
        <v>2022</v>
      </c>
      <c r="E55" s="21" t="s">
        <v>200</v>
      </c>
      <c r="F55" s="22">
        <v>44728</v>
      </c>
      <c r="G55" s="21" t="s">
        <v>201</v>
      </c>
    </row>
    <row r="56" spans="1:7" x14ac:dyDescent="0.25">
      <c r="A56" s="21" t="s">
        <v>202</v>
      </c>
      <c r="D56" s="21">
        <v>2023</v>
      </c>
      <c r="E56" s="21" t="s">
        <v>112</v>
      </c>
      <c r="F56" s="22">
        <v>45085</v>
      </c>
      <c r="G56" s="21" t="s">
        <v>203</v>
      </c>
    </row>
    <row r="57" spans="1:7" x14ac:dyDescent="0.25">
      <c r="A57" s="21" t="s">
        <v>204</v>
      </c>
      <c r="C57" s="21">
        <v>90</v>
      </c>
      <c r="D57" s="21">
        <v>2022</v>
      </c>
      <c r="E57" s="21" t="s">
        <v>205</v>
      </c>
      <c r="F57" s="22">
        <v>44728</v>
      </c>
      <c r="G57" s="21" t="s">
        <v>206</v>
      </c>
    </row>
    <row r="58" spans="1:7" x14ac:dyDescent="0.25">
      <c r="A58" s="21" t="s">
        <v>207</v>
      </c>
      <c r="D58" s="21">
        <v>2022</v>
      </c>
      <c r="E58" s="21" t="s">
        <v>208</v>
      </c>
      <c r="F58" s="22">
        <v>44748</v>
      </c>
      <c r="G58" s="21" t="s">
        <v>209</v>
      </c>
    </row>
    <row r="59" spans="1:7" x14ac:dyDescent="0.25">
      <c r="A59" s="21" t="s">
        <v>210</v>
      </c>
      <c r="D59" s="21">
        <v>2022</v>
      </c>
      <c r="E59" s="21" t="s">
        <v>211</v>
      </c>
      <c r="F59" s="22">
        <v>44657</v>
      </c>
      <c r="G59" s="21" t="s">
        <v>212</v>
      </c>
    </row>
    <row r="60" spans="1:7" x14ac:dyDescent="0.25">
      <c r="A60" s="21" t="s">
        <v>213</v>
      </c>
      <c r="D60" s="21">
        <v>2022</v>
      </c>
      <c r="E60" s="21" t="s">
        <v>214</v>
      </c>
      <c r="F60" s="22">
        <v>44770</v>
      </c>
      <c r="G60" s="21" t="s">
        <v>215</v>
      </c>
    </row>
    <row r="61" spans="1:7" x14ac:dyDescent="0.25">
      <c r="A61" s="21" t="s">
        <v>216</v>
      </c>
      <c r="D61" s="21">
        <v>2022</v>
      </c>
      <c r="E61" s="21" t="s">
        <v>67</v>
      </c>
      <c r="F61" s="22">
        <v>44833</v>
      </c>
      <c r="G61" s="21" t="s">
        <v>217</v>
      </c>
    </row>
    <row r="62" spans="1:7" x14ac:dyDescent="0.25">
      <c r="A62" s="21" t="s">
        <v>218</v>
      </c>
      <c r="D62" s="21">
        <v>2022</v>
      </c>
      <c r="E62" s="21" t="s">
        <v>219</v>
      </c>
      <c r="F62" s="22">
        <v>44839</v>
      </c>
      <c r="G62" s="21" t="s">
        <v>220</v>
      </c>
    </row>
    <row r="63" spans="1:7" x14ac:dyDescent="0.25">
      <c r="A63" s="21" t="s">
        <v>221</v>
      </c>
      <c r="D63" s="21">
        <v>2022</v>
      </c>
      <c r="E63" s="21" t="s">
        <v>70</v>
      </c>
      <c r="F63" s="22">
        <v>44847</v>
      </c>
      <c r="G63" s="21" t="s">
        <v>71</v>
      </c>
    </row>
    <row r="64" spans="1:7" x14ac:dyDescent="0.25">
      <c r="A64" s="21" t="s">
        <v>222</v>
      </c>
      <c r="D64" s="21">
        <v>2022</v>
      </c>
      <c r="E64" s="21" t="s">
        <v>91</v>
      </c>
      <c r="F64" s="22">
        <v>44868</v>
      </c>
      <c r="G64" s="21" t="s">
        <v>223</v>
      </c>
    </row>
    <row r="65" spans="1:7" x14ac:dyDescent="0.25">
      <c r="A65" s="21" t="s">
        <v>224</v>
      </c>
      <c r="D65" s="21">
        <v>2022</v>
      </c>
      <c r="E65" s="21" t="s">
        <v>225</v>
      </c>
      <c r="F65" s="22">
        <v>44874</v>
      </c>
      <c r="G65" s="21" t="s">
        <v>226</v>
      </c>
    </row>
    <row r="66" spans="1:7" x14ac:dyDescent="0.25">
      <c r="A66" s="21" t="s">
        <v>227</v>
      </c>
      <c r="D66" s="21">
        <v>2022</v>
      </c>
      <c r="E66" s="21" t="s">
        <v>61</v>
      </c>
      <c r="F66" s="22">
        <v>44909</v>
      </c>
      <c r="G66" s="21" t="s">
        <v>228</v>
      </c>
    </row>
    <row r="67" spans="1:7" x14ac:dyDescent="0.25">
      <c r="A67" s="21" t="s">
        <v>229</v>
      </c>
      <c r="D67" s="21">
        <v>2022</v>
      </c>
      <c r="E67" s="21" t="s">
        <v>230</v>
      </c>
      <c r="F67" s="22">
        <v>44888</v>
      </c>
      <c r="G67" s="21" t="s">
        <v>231</v>
      </c>
    </row>
    <row r="68" spans="1:7" x14ac:dyDescent="0.25">
      <c r="A68" s="21" t="s">
        <v>232</v>
      </c>
      <c r="D68" s="21">
        <v>2022</v>
      </c>
      <c r="E68" s="21" t="s">
        <v>91</v>
      </c>
      <c r="F68" s="22">
        <v>44909</v>
      </c>
      <c r="G68" s="21" t="s">
        <v>233</v>
      </c>
    </row>
    <row r="69" spans="1:7" x14ac:dyDescent="0.25">
      <c r="A69" s="21" t="s">
        <v>234</v>
      </c>
      <c r="D69" s="21">
        <v>2022</v>
      </c>
      <c r="E69" s="21" t="s">
        <v>235</v>
      </c>
      <c r="F69" s="22">
        <v>44916</v>
      </c>
      <c r="G69" s="21" t="s">
        <v>236</v>
      </c>
    </row>
    <row r="70" spans="1:7" x14ac:dyDescent="0.25">
      <c r="A70" s="21" t="s">
        <v>237</v>
      </c>
      <c r="D70" s="21">
        <v>2023</v>
      </c>
      <c r="E70" s="21" t="s">
        <v>112</v>
      </c>
      <c r="F70" s="22">
        <v>44939</v>
      </c>
      <c r="G70" s="21" t="s">
        <v>238</v>
      </c>
    </row>
    <row r="71" spans="1:7" x14ac:dyDescent="0.25">
      <c r="A71" s="21" t="s">
        <v>239</v>
      </c>
      <c r="D71" s="21">
        <v>2023</v>
      </c>
      <c r="E71" s="21" t="s">
        <v>240</v>
      </c>
      <c r="F71" s="22">
        <v>44966</v>
      </c>
      <c r="G71" s="21" t="s">
        <v>241</v>
      </c>
    </row>
    <row r="72" spans="1:7" x14ac:dyDescent="0.25">
      <c r="A72" s="21" t="s">
        <v>242</v>
      </c>
      <c r="D72" s="21">
        <v>2023</v>
      </c>
      <c r="E72" s="21" t="s">
        <v>91</v>
      </c>
      <c r="F72" s="22">
        <v>44974</v>
      </c>
      <c r="G72" s="21" t="s">
        <v>243</v>
      </c>
    </row>
    <row r="73" spans="1:7" x14ac:dyDescent="0.25">
      <c r="A73" s="21" t="s">
        <v>244</v>
      </c>
      <c r="D73" s="21">
        <v>2023</v>
      </c>
      <c r="E73" s="21" t="s">
        <v>245</v>
      </c>
      <c r="F73" s="22">
        <v>44987</v>
      </c>
      <c r="G73" s="21" t="s">
        <v>246</v>
      </c>
    </row>
    <row r="74" spans="1:7" x14ac:dyDescent="0.25">
      <c r="A74" s="21" t="s">
        <v>247</v>
      </c>
      <c r="E74" s="21" t="s">
        <v>248</v>
      </c>
      <c r="G74" s="21" t="s">
        <v>249</v>
      </c>
    </row>
    <row r="75" spans="1:7" x14ac:dyDescent="0.25">
      <c r="A75" s="21" t="s">
        <v>250</v>
      </c>
      <c r="D75" s="21">
        <v>2023</v>
      </c>
      <c r="E75" s="21" t="s">
        <v>251</v>
      </c>
      <c r="F75" s="22">
        <v>45001</v>
      </c>
      <c r="G75" s="21" t="s">
        <v>252</v>
      </c>
    </row>
    <row r="76" spans="1:7" x14ac:dyDescent="0.25">
      <c r="A76" s="21" t="s">
        <v>253</v>
      </c>
      <c r="D76" s="21">
        <v>2023</v>
      </c>
      <c r="E76" s="21" t="s">
        <v>254</v>
      </c>
      <c r="F76" s="22">
        <v>45050</v>
      </c>
      <c r="G76" s="21" t="s">
        <v>255</v>
      </c>
    </row>
    <row r="77" spans="1:7" x14ac:dyDescent="0.25">
      <c r="A77" s="21" t="s">
        <v>256</v>
      </c>
      <c r="D77" s="21">
        <v>2023</v>
      </c>
      <c r="E77" s="21" t="s">
        <v>257</v>
      </c>
      <c r="F77" s="22">
        <v>45072</v>
      </c>
      <c r="G77" s="21" t="s">
        <v>258</v>
      </c>
    </row>
    <row r="78" spans="1:7" x14ac:dyDescent="0.25">
      <c r="A78" s="21" t="s">
        <v>259</v>
      </c>
      <c r="D78" s="21">
        <v>2023</v>
      </c>
      <c r="E78" s="21" t="s">
        <v>67</v>
      </c>
      <c r="F78" s="22">
        <v>45113</v>
      </c>
      <c r="G78" s="21" t="s">
        <v>217</v>
      </c>
    </row>
    <row r="79" spans="1:7" x14ac:dyDescent="0.25">
      <c r="A79" s="21" t="s">
        <v>260</v>
      </c>
      <c r="D79" s="21">
        <v>2023</v>
      </c>
      <c r="E79" s="21" t="s">
        <v>261</v>
      </c>
      <c r="F79" s="22">
        <v>45078</v>
      </c>
      <c r="G79" s="21" t="s">
        <v>262</v>
      </c>
    </row>
    <row r="80" spans="1:7" x14ac:dyDescent="0.25">
      <c r="A80" s="21" t="s">
        <v>263</v>
      </c>
      <c r="E80" s="21" t="s">
        <v>264</v>
      </c>
      <c r="G80" s="21" t="s">
        <v>265</v>
      </c>
    </row>
    <row r="81" spans="1:7" x14ac:dyDescent="0.25">
      <c r="A81" s="21" t="s">
        <v>266</v>
      </c>
      <c r="D81" s="21">
        <v>2023</v>
      </c>
      <c r="E81" s="21" t="s">
        <v>151</v>
      </c>
      <c r="F81" s="22">
        <v>45107</v>
      </c>
      <c r="G81" s="21" t="s">
        <v>267</v>
      </c>
    </row>
    <row r="82" spans="1:7" x14ac:dyDescent="0.25">
      <c r="A82" s="21" t="s">
        <v>268</v>
      </c>
      <c r="D82" s="21">
        <v>2023</v>
      </c>
      <c r="E82" s="21" t="s">
        <v>269</v>
      </c>
      <c r="F82" s="22">
        <v>45098</v>
      </c>
      <c r="G82" s="21" t="s">
        <v>270</v>
      </c>
    </row>
    <row r="83" spans="1:7" x14ac:dyDescent="0.25">
      <c r="A83" s="21" t="s">
        <v>271</v>
      </c>
      <c r="D83" s="21">
        <v>2023</v>
      </c>
      <c r="E83" s="21" t="s">
        <v>272</v>
      </c>
      <c r="F83" s="22">
        <v>45135</v>
      </c>
      <c r="G83" s="21" t="s">
        <v>273</v>
      </c>
    </row>
    <row r="84" spans="1:7" x14ac:dyDescent="0.25">
      <c r="A84" s="21" t="s">
        <v>274</v>
      </c>
      <c r="D84" s="21">
        <v>2023</v>
      </c>
      <c r="E84" s="21" t="s">
        <v>275</v>
      </c>
      <c r="F84" s="22">
        <v>45291</v>
      </c>
      <c r="G84" s="21" t="s">
        <v>276</v>
      </c>
    </row>
    <row r="85" spans="1:7" x14ac:dyDescent="0.25">
      <c r="A85" s="21" t="s">
        <v>277</v>
      </c>
      <c r="E85" s="21" t="s">
        <v>180</v>
      </c>
      <c r="G85" s="21" t="s">
        <v>278</v>
      </c>
    </row>
    <row r="86" spans="1:7" x14ac:dyDescent="0.25">
      <c r="A86" s="21" t="s">
        <v>279</v>
      </c>
      <c r="D86" s="21">
        <v>2023</v>
      </c>
      <c r="F86" s="22">
        <v>45252</v>
      </c>
      <c r="G86" s="21" t="s">
        <v>280</v>
      </c>
    </row>
    <row r="87" spans="1:7" x14ac:dyDescent="0.25">
      <c r="A87" s="21" t="s">
        <v>281</v>
      </c>
      <c r="D87" s="21">
        <v>2023</v>
      </c>
      <c r="E87" s="21" t="s">
        <v>282</v>
      </c>
      <c r="F87" s="22">
        <v>45280</v>
      </c>
      <c r="G87" s="21" t="s">
        <v>283</v>
      </c>
    </row>
    <row r="88" spans="1:7" x14ac:dyDescent="0.25">
      <c r="A88" s="21" t="s">
        <v>284</v>
      </c>
      <c r="D88" s="21">
        <v>2023</v>
      </c>
      <c r="E88" s="21" t="s">
        <v>285</v>
      </c>
    </row>
    <row r="89" spans="1:7" x14ac:dyDescent="0.25">
      <c r="A89" s="21" t="s">
        <v>286</v>
      </c>
      <c r="E89" s="21" t="s">
        <v>112</v>
      </c>
    </row>
    <row r="90" spans="1:7" x14ac:dyDescent="0.25">
      <c r="A90" s="21" t="s">
        <v>287</v>
      </c>
      <c r="D90" s="21">
        <v>2024</v>
      </c>
      <c r="E90" s="21" t="s">
        <v>61</v>
      </c>
      <c r="F90" s="22">
        <v>45434</v>
      </c>
      <c r="G90" s="21" t="s">
        <v>288</v>
      </c>
    </row>
    <row r="91" spans="1:7" x14ac:dyDescent="0.25">
      <c r="A91" s="21" t="s">
        <v>289</v>
      </c>
      <c r="E91" s="21" t="s">
        <v>112</v>
      </c>
      <c r="G91" s="21" t="s">
        <v>113</v>
      </c>
    </row>
    <row r="92" spans="1:7" x14ac:dyDescent="0.25">
      <c r="A92" s="21" t="s">
        <v>290</v>
      </c>
      <c r="D92" s="21">
        <v>2022</v>
      </c>
      <c r="E92" s="21" t="s">
        <v>291</v>
      </c>
      <c r="F92" s="22">
        <v>44813</v>
      </c>
      <c r="G92" s="21" t="s">
        <v>292</v>
      </c>
    </row>
    <row r="93" spans="1:7" x14ac:dyDescent="0.25">
      <c r="A93" s="21" t="s">
        <v>293</v>
      </c>
      <c r="D93" s="21">
        <v>2022</v>
      </c>
      <c r="E93" s="21" t="s">
        <v>294</v>
      </c>
      <c r="F93" s="22">
        <v>44826</v>
      </c>
      <c r="G93" s="21" t="s">
        <v>265</v>
      </c>
    </row>
    <row r="94" spans="1:7" x14ac:dyDescent="0.25">
      <c r="A94" s="21" t="s">
        <v>295</v>
      </c>
      <c r="D94" s="21">
        <v>2022</v>
      </c>
      <c r="E94" s="21" t="s">
        <v>136</v>
      </c>
      <c r="F94" s="22">
        <v>44658</v>
      </c>
      <c r="G94" s="21" t="s">
        <v>296</v>
      </c>
    </row>
    <row r="95" spans="1:7" x14ac:dyDescent="0.25">
      <c r="A95" s="21" t="s">
        <v>297</v>
      </c>
      <c r="D95" s="21">
        <v>2023</v>
      </c>
      <c r="E95" s="21" t="s">
        <v>230</v>
      </c>
      <c r="F95" s="22">
        <v>44953</v>
      </c>
    </row>
    <row r="96" spans="1:7" x14ac:dyDescent="0.25">
      <c r="A96" s="21" t="s">
        <v>298</v>
      </c>
      <c r="D96" s="21">
        <v>2022</v>
      </c>
      <c r="E96" s="21" t="s">
        <v>174</v>
      </c>
      <c r="F96" s="22">
        <v>44700</v>
      </c>
      <c r="G96" s="21" t="s">
        <v>299</v>
      </c>
    </row>
    <row r="97" spans="1:7" x14ac:dyDescent="0.25">
      <c r="A97" s="21" t="s">
        <v>300</v>
      </c>
      <c r="D97" s="21">
        <v>2022</v>
      </c>
      <c r="E97" s="21" t="s">
        <v>157</v>
      </c>
      <c r="F97" s="22">
        <v>44792</v>
      </c>
      <c r="G97" s="21" t="s">
        <v>301</v>
      </c>
    </row>
    <row r="98" spans="1:7" x14ac:dyDescent="0.25">
      <c r="A98" s="21" t="s">
        <v>302</v>
      </c>
      <c r="D98" s="21">
        <v>2023</v>
      </c>
      <c r="E98" s="21" t="s">
        <v>303</v>
      </c>
      <c r="F98" s="22">
        <v>45023</v>
      </c>
      <c r="G98" s="21" t="s">
        <v>304</v>
      </c>
    </row>
    <row r="99" spans="1:7" x14ac:dyDescent="0.25">
      <c r="A99" s="21" t="s">
        <v>305</v>
      </c>
      <c r="D99" s="21">
        <v>2024</v>
      </c>
      <c r="F99" s="22">
        <v>45352</v>
      </c>
    </row>
    <row r="100" spans="1:7" x14ac:dyDescent="0.25">
      <c r="A100" s="21" t="s">
        <v>305</v>
      </c>
      <c r="D100" s="21">
        <v>2024</v>
      </c>
      <c r="F100" s="22">
        <v>45352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08D2-7B5F-42AC-8E28-5A2CB950B64B}">
  <dimension ref="A3:E8"/>
  <sheetViews>
    <sheetView zoomScale="280" zoomScaleNormal="280" workbookViewId="0">
      <selection activeCell="E5" sqref="E5"/>
    </sheetView>
  </sheetViews>
  <sheetFormatPr defaultRowHeight="15.75" x14ac:dyDescent="0.25"/>
  <cols>
    <col min="1" max="1" width="10.125" bestFit="1" customWidth="1"/>
    <col min="2" max="2" width="10.375" bestFit="1" customWidth="1"/>
    <col min="4" max="4" width="9.5" bestFit="1" customWidth="1"/>
    <col min="5" max="5" width="7.5" bestFit="1" customWidth="1"/>
  </cols>
  <sheetData>
    <row r="3" spans="1:5" ht="19.5" x14ac:dyDescent="0.3">
      <c r="A3" s="9" t="s">
        <v>3</v>
      </c>
      <c r="B3" s="9" t="s">
        <v>4</v>
      </c>
      <c r="D3" s="11" t="s">
        <v>3</v>
      </c>
      <c r="E3" s="11" t="s">
        <v>5</v>
      </c>
    </row>
    <row r="4" spans="1:5" x14ac:dyDescent="0.25">
      <c r="A4" s="10">
        <v>0</v>
      </c>
      <c r="B4" s="1">
        <v>0</v>
      </c>
      <c r="C4" t="s">
        <v>307</v>
      </c>
      <c r="D4" s="14">
        <v>57</v>
      </c>
      <c r="E4" s="19">
        <f>_xlfn.XLOOKUP(D4,A4:A8,B4:B8,"not found",-1)</f>
        <v>0.15</v>
      </c>
    </row>
    <row r="5" spans="1:5" x14ac:dyDescent="0.25">
      <c r="A5" s="10">
        <v>10</v>
      </c>
      <c r="B5" s="2">
        <v>7.0000000000000007E-2</v>
      </c>
      <c r="D5" t="s">
        <v>306</v>
      </c>
      <c r="E5" s="18">
        <f>VLOOKUP(D4,A4:B8,2)</f>
        <v>0.15</v>
      </c>
    </row>
    <row r="6" spans="1:5" x14ac:dyDescent="0.25">
      <c r="A6" s="10">
        <v>25</v>
      </c>
      <c r="B6" s="2">
        <v>0.13</v>
      </c>
    </row>
    <row r="7" spans="1:5" x14ac:dyDescent="0.25">
      <c r="A7" s="10">
        <v>50</v>
      </c>
      <c r="B7" s="2">
        <v>0.15</v>
      </c>
    </row>
    <row r="8" spans="1:5" x14ac:dyDescent="0.25">
      <c r="A8" s="10">
        <v>100</v>
      </c>
      <c r="B8" s="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1DF6-FAD3-484D-B8C0-67453D771469}">
  <dimension ref="A3:D14"/>
  <sheetViews>
    <sheetView zoomScale="175" zoomScaleNormal="175" workbookViewId="0">
      <selection activeCell="B6" sqref="B6"/>
    </sheetView>
  </sheetViews>
  <sheetFormatPr defaultRowHeight="15.75" x14ac:dyDescent="0.25"/>
  <cols>
    <col min="1" max="1" width="5.625" bestFit="1" customWidth="1"/>
    <col min="2" max="2" width="10.125" bestFit="1" customWidth="1"/>
    <col min="3" max="3" width="13.125" bestFit="1" customWidth="1"/>
    <col min="4" max="4" width="25.25" bestFit="1" customWidth="1"/>
  </cols>
  <sheetData>
    <row r="3" spans="1:4" ht="36" x14ac:dyDescent="0.55000000000000004">
      <c r="A3" s="12" t="s">
        <v>6</v>
      </c>
      <c r="B3" s="12" t="s">
        <v>7</v>
      </c>
      <c r="C3" s="12" t="s">
        <v>8</v>
      </c>
      <c r="D3" s="12" t="s">
        <v>9</v>
      </c>
    </row>
    <row r="4" spans="1:4" x14ac:dyDescent="0.25">
      <c r="A4" s="14">
        <v>249</v>
      </c>
      <c r="B4" s="14" t="str">
        <f>VLOOKUP(A4,A7:D14,2,FALSE)</f>
        <v>Pam</v>
      </c>
      <c r="C4" s="14" t="str">
        <f>VLOOKUP(A4,A7:D14,3,FALSE)</f>
        <v>Beesly</v>
      </c>
      <c r="D4" s="14" t="str">
        <f>VLOOKUP(A4,A7:D14,4,FALSE)</f>
        <v>Reception</v>
      </c>
    </row>
    <row r="5" spans="1:4" x14ac:dyDescent="0.25">
      <c r="A5" t="s">
        <v>307</v>
      </c>
      <c r="B5" t="str" cm="1">
        <f t="array" ref="B5:D5">_xlfn.XLOOKUP(A4,A7:A14,B7:D14)</f>
        <v>Pam</v>
      </c>
      <c r="C5" t="str">
        <v>Beesly</v>
      </c>
      <c r="D5" t="str">
        <v>Reception</v>
      </c>
    </row>
    <row r="6" spans="1:4" ht="21" x14ac:dyDescent="0.35">
      <c r="A6" s="13" t="s">
        <v>6</v>
      </c>
      <c r="B6" s="13" t="s">
        <v>7</v>
      </c>
      <c r="C6" s="13" t="s">
        <v>8</v>
      </c>
      <c r="D6" s="13" t="s">
        <v>9</v>
      </c>
    </row>
    <row r="7" spans="1:4" ht="21" x14ac:dyDescent="0.35">
      <c r="A7" s="4">
        <v>234</v>
      </c>
      <c r="B7" s="3" t="s">
        <v>10</v>
      </c>
      <c r="C7" s="3" t="s">
        <v>11</v>
      </c>
      <c r="D7" s="3" t="s">
        <v>20</v>
      </c>
    </row>
    <row r="8" spans="1:4" ht="21" x14ac:dyDescent="0.35">
      <c r="A8" s="4">
        <v>733</v>
      </c>
      <c r="B8" s="3" t="s">
        <v>12</v>
      </c>
      <c r="C8" s="3" t="s">
        <v>13</v>
      </c>
      <c r="D8" s="3" t="s">
        <v>14</v>
      </c>
    </row>
    <row r="9" spans="1:4" ht="21" x14ac:dyDescent="0.35">
      <c r="A9" s="4">
        <v>544</v>
      </c>
      <c r="B9" s="3" t="s">
        <v>15</v>
      </c>
      <c r="C9" s="3" t="s">
        <v>16</v>
      </c>
      <c r="D9" s="3" t="s">
        <v>0</v>
      </c>
    </row>
    <row r="10" spans="1:4" ht="21" x14ac:dyDescent="0.35">
      <c r="A10" s="4">
        <v>249</v>
      </c>
      <c r="B10" s="3" t="s">
        <v>17</v>
      </c>
      <c r="C10" s="3" t="s">
        <v>18</v>
      </c>
      <c r="D10" s="3" t="s">
        <v>19</v>
      </c>
    </row>
    <row r="11" spans="1:4" ht="21" x14ac:dyDescent="0.35">
      <c r="A11" s="4">
        <v>696</v>
      </c>
      <c r="B11" s="3" t="s">
        <v>21</v>
      </c>
      <c r="C11" s="3" t="s">
        <v>22</v>
      </c>
      <c r="D11" s="3" t="s">
        <v>0</v>
      </c>
    </row>
    <row r="12" spans="1:4" ht="21" x14ac:dyDescent="0.35">
      <c r="A12" s="4">
        <v>455</v>
      </c>
      <c r="B12" s="3" t="s">
        <v>23</v>
      </c>
      <c r="C12" s="3" t="s">
        <v>24</v>
      </c>
      <c r="D12" s="3" t="s">
        <v>25</v>
      </c>
    </row>
    <row r="13" spans="1:4" ht="21" x14ac:dyDescent="0.35">
      <c r="A13" s="4">
        <v>266</v>
      </c>
      <c r="B13" s="3" t="s">
        <v>26</v>
      </c>
      <c r="C13" s="3" t="s">
        <v>27</v>
      </c>
      <c r="D13" s="3" t="s">
        <v>0</v>
      </c>
    </row>
    <row r="14" spans="1:4" ht="21" x14ac:dyDescent="0.35">
      <c r="A14" s="4">
        <v>325</v>
      </c>
      <c r="B14" s="3" t="s">
        <v>28</v>
      </c>
      <c r="C14" s="3" t="s">
        <v>29</v>
      </c>
      <c r="D14" s="3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F983-A687-4F75-B4AB-B5B111A33A58}">
  <dimension ref="A4:H9"/>
  <sheetViews>
    <sheetView tabSelected="1" zoomScale="205" zoomScaleNormal="205" workbookViewId="0">
      <selection activeCell="H8" sqref="H8"/>
    </sheetView>
  </sheetViews>
  <sheetFormatPr defaultRowHeight="15.75" x14ac:dyDescent="0.25"/>
  <sheetData>
    <row r="4" spans="1:8" ht="19.5" x14ac:dyDescent="0.3">
      <c r="B4" s="7" t="s">
        <v>34</v>
      </c>
      <c r="C4" s="7" t="s">
        <v>35</v>
      </c>
      <c r="D4" s="7" t="s">
        <v>36</v>
      </c>
      <c r="E4" s="7" t="s">
        <v>37</v>
      </c>
    </row>
    <row r="5" spans="1:8" x14ac:dyDescent="0.25">
      <c r="A5" s="6" t="s">
        <v>1</v>
      </c>
      <c r="B5" s="5">
        <v>6.25</v>
      </c>
      <c r="C5" s="5">
        <v>45</v>
      </c>
      <c r="D5" s="5">
        <v>88.92</v>
      </c>
      <c r="E5" s="5">
        <v>47.65</v>
      </c>
      <c r="G5" s="6" t="s">
        <v>38</v>
      </c>
      <c r="H5" s="1" t="s">
        <v>30</v>
      </c>
    </row>
    <row r="6" spans="1:8" x14ac:dyDescent="0.25">
      <c r="A6" s="6" t="s">
        <v>30</v>
      </c>
      <c r="B6" s="5">
        <v>77</v>
      </c>
      <c r="C6" s="5">
        <v>76.23</v>
      </c>
      <c r="D6" s="5">
        <v>45.52</v>
      </c>
      <c r="E6" s="5">
        <v>18.97</v>
      </c>
      <c r="G6" s="6" t="s">
        <v>39</v>
      </c>
      <c r="H6" s="1" t="s">
        <v>35</v>
      </c>
    </row>
    <row r="7" spans="1:8" x14ac:dyDescent="0.25">
      <c r="A7" s="6" t="s">
        <v>31</v>
      </c>
      <c r="B7" s="5">
        <v>63.2</v>
      </c>
      <c r="C7" s="5">
        <v>55.67</v>
      </c>
      <c r="D7" s="5">
        <v>11</v>
      </c>
      <c r="E7" s="5">
        <v>13.33</v>
      </c>
      <c r="G7" s="6" t="s">
        <v>5</v>
      </c>
      <c r="H7" s="20" cm="1">
        <f t="array" ref="H7">_xlfn.XLOOKUP(H5,A5:A9,_xlfn.XLOOKUP(H6,B4:E4,B5:E9))</f>
        <v>76.23</v>
      </c>
    </row>
    <row r="8" spans="1:8" x14ac:dyDescent="0.25">
      <c r="A8" s="6" t="s">
        <v>32</v>
      </c>
      <c r="B8" s="5">
        <v>24.7</v>
      </c>
      <c r="C8" s="5">
        <v>15.34</v>
      </c>
      <c r="D8" s="5">
        <v>33.72</v>
      </c>
      <c r="E8" s="5">
        <v>4.78</v>
      </c>
    </row>
    <row r="9" spans="1:8" x14ac:dyDescent="0.25">
      <c r="A9" s="6" t="s">
        <v>33</v>
      </c>
      <c r="B9" s="5">
        <v>28.93</v>
      </c>
      <c r="C9" s="5">
        <v>12.23</v>
      </c>
      <c r="D9" s="5">
        <v>15.62</v>
      </c>
      <c r="E9" s="5">
        <v>78.88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0ABF-35BF-4A34-8F97-6CE69370E454}">
  <dimension ref="A3:I9"/>
  <sheetViews>
    <sheetView zoomScale="205" zoomScaleNormal="205" workbookViewId="0">
      <selection activeCell="D18" sqref="D18"/>
    </sheetView>
  </sheetViews>
  <sheetFormatPr defaultRowHeight="15.75" x14ac:dyDescent="0.25"/>
  <cols>
    <col min="1" max="1" width="9.75" bestFit="1" customWidth="1"/>
    <col min="2" max="2" width="6.5" bestFit="1" customWidth="1"/>
    <col min="3" max="3" width="9.75" bestFit="1" customWidth="1"/>
    <col min="4" max="4" width="8.125" bestFit="1" customWidth="1"/>
    <col min="6" max="6" width="7.5" bestFit="1" customWidth="1"/>
    <col min="7" max="7" width="6.5" bestFit="1" customWidth="1"/>
    <col min="8" max="8" width="4.75" bestFit="1" customWidth="1"/>
    <col min="9" max="9" width="7.375" bestFit="1" customWidth="1"/>
  </cols>
  <sheetData>
    <row r="3" spans="1:9" x14ac:dyDescent="0.25">
      <c r="A3" s="15" t="s">
        <v>40</v>
      </c>
      <c r="B3" s="15" t="s">
        <v>41</v>
      </c>
      <c r="C3" s="15" t="s">
        <v>42</v>
      </c>
      <c r="D3" s="15" t="s">
        <v>43</v>
      </c>
      <c r="F3" s="15" t="s">
        <v>40</v>
      </c>
      <c r="G3" s="15" t="s">
        <v>41</v>
      </c>
      <c r="H3" s="15" t="s">
        <v>42</v>
      </c>
      <c r="I3" s="15" t="s">
        <v>43</v>
      </c>
    </row>
    <row r="4" spans="1:9" x14ac:dyDescent="0.25">
      <c r="A4" s="1" t="s">
        <v>44</v>
      </c>
      <c r="B4" s="1" t="s">
        <v>50</v>
      </c>
      <c r="C4" s="16">
        <v>43961</v>
      </c>
      <c r="D4" s="17">
        <v>25000</v>
      </c>
      <c r="F4" s="1"/>
      <c r="G4" s="1"/>
      <c r="H4" s="1"/>
      <c r="I4" s="1"/>
    </row>
    <row r="5" spans="1:9" x14ac:dyDescent="0.25">
      <c r="A5" s="1" t="s">
        <v>45</v>
      </c>
      <c r="B5" s="1" t="s">
        <v>51</v>
      </c>
      <c r="C5" s="16">
        <v>43926</v>
      </c>
      <c r="D5" s="17">
        <v>23000</v>
      </c>
    </row>
    <row r="6" spans="1:9" x14ac:dyDescent="0.25">
      <c r="A6" s="1" t="s">
        <v>46</v>
      </c>
      <c r="B6" s="1" t="s">
        <v>50</v>
      </c>
      <c r="C6" s="16">
        <v>43864</v>
      </c>
      <c r="D6" s="17">
        <v>10000</v>
      </c>
    </row>
    <row r="7" spans="1:9" x14ac:dyDescent="0.25">
      <c r="A7" s="1" t="s">
        <v>47</v>
      </c>
      <c r="B7" s="1" t="s">
        <v>51</v>
      </c>
      <c r="C7" s="16">
        <v>43834</v>
      </c>
      <c r="D7" s="17">
        <v>12000</v>
      </c>
    </row>
    <row r="8" spans="1:9" x14ac:dyDescent="0.25">
      <c r="A8" s="1" t="s">
        <v>48</v>
      </c>
      <c r="B8" s="1" t="s">
        <v>51</v>
      </c>
      <c r="C8" s="16">
        <v>43894</v>
      </c>
      <c r="D8" s="17">
        <v>17000</v>
      </c>
    </row>
    <row r="9" spans="1:9" x14ac:dyDescent="0.25">
      <c r="A9" s="1" t="s">
        <v>49</v>
      </c>
      <c r="B9" s="1" t="s">
        <v>50</v>
      </c>
      <c r="C9" s="16">
        <v>43914</v>
      </c>
      <c r="D9" s="17">
        <v>8000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XLOOKUP_Basics </vt:lpstr>
      <vt:lpstr>XLOOKUP_approx</vt:lpstr>
      <vt:lpstr>XLOOKUP_mulValues</vt:lpstr>
      <vt:lpstr>XLOOKUP_twoway</vt:lpstr>
      <vt:lpstr>XLOOKUP_complex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 Karim</dc:creator>
  <cp:lastModifiedBy>Faz Karim</cp:lastModifiedBy>
  <dcterms:created xsi:type="dcterms:W3CDTF">2020-07-01T19:52:44Z</dcterms:created>
  <dcterms:modified xsi:type="dcterms:W3CDTF">2021-12-03T16:56:02Z</dcterms:modified>
</cp:coreProperties>
</file>