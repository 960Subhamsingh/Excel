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D:\Project\Excel\Accounting\"/>
    </mc:Choice>
  </mc:AlternateContent>
  <bookViews>
    <workbookView xWindow="0" yWindow="0" windowWidth="20490" windowHeight="7620" activeTab="3"/>
  </bookViews>
  <sheets>
    <sheet name="Bill Entry" sheetId="1" r:id="rId1"/>
    <sheet name="Purchase Data" sheetId="2" r:id="rId2"/>
    <sheet name="Sales Data" sheetId="3" r:id="rId3"/>
    <sheet name="Stocks" sheetId="4" r:id="rId4"/>
  </sheets>
  <definedNames>
    <definedName name="_xlnm.Criteria" localSheetId="3">Stocks!$F$5:$F$6</definedName>
    <definedName name="_xlnm.Extract" localSheetId="3">Stocks!$A$2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" l="1"/>
  <c r="C2" i="4"/>
  <c r="D2" i="4"/>
  <c r="B3" i="4"/>
  <c r="C3" i="4"/>
  <c r="D3" i="4"/>
  <c r="B4" i="4"/>
  <c r="C4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F6" i="4"/>
  <c r="G5" i="3"/>
  <c r="G6" i="3"/>
  <c r="I3" i="1"/>
  <c r="G4" i="3"/>
  <c r="G3" i="3"/>
  <c r="G2" i="3"/>
  <c r="G7" i="3"/>
  <c r="G8" i="3"/>
  <c r="G4" i="2"/>
  <c r="G3" i="2"/>
  <c r="G5" i="2"/>
  <c r="G2" i="2"/>
  <c r="G7" i="2"/>
  <c r="C11" i="1"/>
  <c r="B6" i="1"/>
</calcChain>
</file>

<file path=xl/sharedStrings.xml><?xml version="1.0" encoding="utf-8"?>
<sst xmlns="http://schemas.openxmlformats.org/spreadsheetml/2006/main" count="47" uniqueCount="26">
  <si>
    <t>ELECTRONICS PVT.LTD.</t>
  </si>
  <si>
    <t>Entry Type</t>
  </si>
  <si>
    <t>Last Entry</t>
  </si>
  <si>
    <t>invoice No.</t>
  </si>
  <si>
    <t>Date</t>
  </si>
  <si>
    <t>Product</t>
  </si>
  <si>
    <t>Rate</t>
  </si>
  <si>
    <t>Quantity</t>
  </si>
  <si>
    <t>Amount</t>
  </si>
  <si>
    <t>Vendor</t>
  </si>
  <si>
    <t>Mohan Traders</t>
  </si>
  <si>
    <t>Keyboard</t>
  </si>
  <si>
    <t>copy = alt+h+v+t</t>
  </si>
  <si>
    <t>Son Traders</t>
  </si>
  <si>
    <t>Mouse</t>
  </si>
  <si>
    <t>Sales</t>
  </si>
  <si>
    <t>Rahul</t>
  </si>
  <si>
    <t>Rahul kumar</t>
  </si>
  <si>
    <t>Son kumar</t>
  </si>
  <si>
    <t>sumit kuamr</t>
  </si>
  <si>
    <t>Purchase Qty</t>
  </si>
  <si>
    <t>Sales Qty</t>
  </si>
  <si>
    <t>Remaing Stocks</t>
  </si>
  <si>
    <t>moniter</t>
  </si>
  <si>
    <t>Alt +H+O+U+C</t>
  </si>
  <si>
    <t>Hide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</si>
</sst>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5" tint="0.7999816888943144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1" xfId="0" applyFont="1" applyBorder="1" applyAlignment="1">
      <alignment horizontal="left"/>
    </xf>
    <xf numFmtId="14" fontId="1" fillId="0" borderId="1" xfId="0" applyNumberFormat="1" applyFont="1" applyBorder="1" applyAlignment="1">
      <alignment horizontal="left"/>
    </xf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12</xdr:row>
      <xdr:rowOff>19050</xdr:rowOff>
    </xdr:from>
    <xdr:to>
      <xdr:col>1</xdr:col>
      <xdr:colOff>714375</xdr:colOff>
      <xdr:row>14</xdr:row>
      <xdr:rowOff>142875</xdr:rowOff>
    </xdr:to>
    <xdr:sp macro="[0]!Purchase_1" textlink="">
      <xdr:nvSpPr>
        <xdr:cNvPr id="2" name="Rectangle 1"/>
        <xdr:cNvSpPr/>
      </xdr:nvSpPr>
      <xdr:spPr>
        <a:xfrm>
          <a:off x="447675" y="2314575"/>
          <a:ext cx="876300" cy="504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Bahnschrift" panose="020B0502040204020203" pitchFamily="34" charset="0"/>
            </a:rPr>
            <a:t>Purchase</a:t>
          </a:r>
          <a:r>
            <a:rPr lang="en-US" sz="1100"/>
            <a:t> </a:t>
          </a:r>
          <a:r>
            <a:rPr lang="en-US" sz="1200" b="1">
              <a:latin typeface="Bahnschrift" panose="020B0502040204020203" pitchFamily="34" charset="0"/>
            </a:rPr>
            <a:t>Entry</a:t>
          </a:r>
        </a:p>
      </xdr:txBody>
    </xdr:sp>
    <xdr:clientData/>
  </xdr:twoCellAnchor>
  <xdr:twoCellAnchor>
    <xdr:from>
      <xdr:col>2</xdr:col>
      <xdr:colOff>19050</xdr:colOff>
      <xdr:row>12</xdr:row>
      <xdr:rowOff>28575</xdr:rowOff>
    </xdr:from>
    <xdr:to>
      <xdr:col>3</xdr:col>
      <xdr:colOff>209550</xdr:colOff>
      <xdr:row>14</xdr:row>
      <xdr:rowOff>142875</xdr:rowOff>
    </xdr:to>
    <xdr:sp macro="[0]!sales_1" textlink="">
      <xdr:nvSpPr>
        <xdr:cNvPr id="4" name="Rectangle 3"/>
        <xdr:cNvSpPr/>
      </xdr:nvSpPr>
      <xdr:spPr>
        <a:xfrm>
          <a:off x="1362075" y="2324100"/>
          <a:ext cx="990600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Bahnschrift" panose="020B0502040204020203" pitchFamily="34" charset="0"/>
            </a:rPr>
            <a:t>Sales</a:t>
          </a:r>
          <a:r>
            <a:rPr lang="en-US" sz="1100"/>
            <a:t> </a:t>
          </a:r>
          <a:r>
            <a:rPr lang="en-US" sz="1200" b="1">
              <a:latin typeface="Bahnschrift" panose="020B0502040204020203" pitchFamily="34" charset="0"/>
            </a:rPr>
            <a:t>Entry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157163</xdr:colOff>
      <xdr:row>4</xdr:row>
      <xdr:rowOff>119064</xdr:rowOff>
    </xdr:from>
    <xdr:to>
      <xdr:col>6</xdr:col>
      <xdr:colOff>419100</xdr:colOff>
      <xdr:row>4</xdr:row>
      <xdr:rowOff>123828</xdr:rowOff>
    </xdr:to>
    <xdr:cxnSp macro="">
      <xdr:nvCxnSpPr>
        <xdr:cNvPr id="3" name="Straight Arrow Connector 2"/>
        <xdr:cNvCxnSpPr/>
      </xdr:nvCxnSpPr>
      <xdr:spPr>
        <a:xfrm flipH="1" flipV="1">
          <a:off x="4900613" y="881064"/>
          <a:ext cx="261937" cy="476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2" name="Table2" displayName="Table2" ref="A1:G7" totalsRowShown="0" headerRowDxfId="8" headerRowBorderDxfId="9" tableBorderDxfId="10">
  <autoFilter ref="A1:G7"/>
  <sortState ref="A2:G7">
    <sortCondition ref="A1:A7"/>
  </sortState>
  <tableColumns count="7">
    <tableColumn id="1" name="invoice No."/>
    <tableColumn id="2" name="Vendor"/>
    <tableColumn id="3" name="Date"/>
    <tableColumn id="4" name="Product"/>
    <tableColumn id="5" name="Rate"/>
    <tableColumn id="6" name="Quantity"/>
    <tableColumn id="7" name="Amount" dataDxfId="4">
      <calculatedColumnFormula>E2*F2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3" name="Table24" displayName="Table24" ref="A1:G8" totalsRowShown="0" headerRowDxfId="7" headerRowBorderDxfId="5" tableBorderDxfId="6">
  <autoFilter ref="A1:G8"/>
  <sortState ref="A2:G8">
    <sortCondition ref="A1:A8"/>
  </sortState>
  <tableColumns count="7">
    <tableColumn id="1" name="invoice No."/>
    <tableColumn id="2" name="Vendor"/>
    <tableColumn id="3" name="Date"/>
    <tableColumn id="4" name="Product"/>
    <tableColumn id="5" name="Rate"/>
    <tableColumn id="6" name="Quantity"/>
    <tableColumn id="7" name="Amount" dataDxfId="3">
      <calculatedColumnFormula>E2*F2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4" name="Table4" displayName="Table4" ref="A1:D27" totalsRowShown="0">
  <tableColumns count="4">
    <tableColumn id="1" name="Product"/>
    <tableColumn id="2" name="Purchase Qty" dataDxfId="2">
      <calculatedColumnFormula>SUMIF('Purchase Data'!D:D,Table4[[#This Row],[Product]],'Purchase Data'!F:F)</calculatedColumnFormula>
    </tableColumn>
    <tableColumn id="3" name="Sales Qty" dataDxfId="1">
      <calculatedColumnFormula>SUMIF('Sales Data'!D:D,Table4[[#This Row],[Product]],'Sales Data'!F:F)</calculatedColumnFormula>
    </tableColumn>
    <tableColumn id="4" name="Remaing Stocks" dataDxfId="0">
      <calculatedColumnFormula>Table4[[#This Row],[Purchase Qty]]-Table4[[#This Row],[Sales Qty]]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workbookViewId="0">
      <selection activeCell="C8" sqref="C8"/>
    </sheetView>
  </sheetViews>
  <sheetFormatPr defaultRowHeight="15" x14ac:dyDescent="0.25"/>
  <cols>
    <col min="2" max="2" width="11" bestFit="1" customWidth="1"/>
    <col min="3" max="3" width="12" bestFit="1" customWidth="1"/>
  </cols>
  <sheetData>
    <row r="1" spans="1:9" ht="15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</row>
    <row r="2" spans="1:9" ht="15" customHeight="1" x14ac:dyDescent="0.25">
      <c r="A2" s="2"/>
      <c r="B2" s="2"/>
      <c r="C2" s="2"/>
      <c r="D2" s="2"/>
      <c r="E2" s="2"/>
      <c r="F2" s="2"/>
      <c r="G2" s="2"/>
      <c r="H2" s="2"/>
      <c r="I2" s="2"/>
    </row>
    <row r="3" spans="1:9" ht="15.75" x14ac:dyDescent="0.25">
      <c r="A3" s="3" t="s">
        <v>1</v>
      </c>
      <c r="B3" s="3"/>
      <c r="C3" t="s">
        <v>15</v>
      </c>
      <c r="G3" s="1" t="s">
        <v>2</v>
      </c>
      <c r="H3" s="1"/>
      <c r="I3">
        <f>IF(C3="Purchase",MAX('Purchase Data'!A:A),MAX('Sales Data'!A:A))</f>
        <v>3003</v>
      </c>
    </row>
    <row r="5" spans="1:9" x14ac:dyDescent="0.25">
      <c r="B5" s="4" t="s">
        <v>3</v>
      </c>
      <c r="C5" s="6"/>
    </row>
    <row r="6" spans="1:9" x14ac:dyDescent="0.25">
      <c r="B6" s="4" t="str">
        <f>IF(C3="Purchase","vendor","Customer")</f>
        <v>Customer</v>
      </c>
      <c r="C6" s="6"/>
    </row>
    <row r="7" spans="1:9" x14ac:dyDescent="0.25">
      <c r="B7" s="4" t="s">
        <v>4</v>
      </c>
      <c r="C7" s="7"/>
    </row>
    <row r="8" spans="1:9" x14ac:dyDescent="0.25">
      <c r="B8" s="4" t="s">
        <v>5</v>
      </c>
      <c r="C8" s="6"/>
    </row>
    <row r="9" spans="1:9" x14ac:dyDescent="0.25">
      <c r="B9" s="4" t="s">
        <v>6</v>
      </c>
      <c r="C9" s="6"/>
    </row>
    <row r="10" spans="1:9" x14ac:dyDescent="0.25">
      <c r="B10" s="4" t="s">
        <v>7</v>
      </c>
      <c r="C10" s="6"/>
    </row>
    <row r="11" spans="1:9" x14ac:dyDescent="0.25">
      <c r="B11" s="4" t="s">
        <v>8</v>
      </c>
      <c r="C11" s="6">
        <f>C9*C10</f>
        <v>0</v>
      </c>
    </row>
    <row r="13" spans="1:9" x14ac:dyDescent="0.25">
      <c r="C13" s="1"/>
    </row>
    <row r="14" spans="1:9" x14ac:dyDescent="0.25">
      <c r="C14" s="1"/>
    </row>
    <row r="19" spans="1:1" x14ac:dyDescent="0.25">
      <c r="A19" t="s">
        <v>12</v>
      </c>
    </row>
  </sheetData>
  <mergeCells count="4">
    <mergeCell ref="A3:B3"/>
    <mergeCell ref="G3:H3"/>
    <mergeCell ref="A1:I2"/>
    <mergeCell ref="C13:C14"/>
  </mergeCells>
  <dataValidations count="2">
    <dataValidation type="list" allowBlank="1" showInputMessage="1" showErrorMessage="1" sqref="C3">
      <formula1>"Purchase, Sales"</formula1>
    </dataValidation>
    <dataValidation type="list" allowBlank="1" showInputMessage="1" showErrorMessage="1" sqref="C8">
      <formula1>"Keyboard,Mouse,Speaker,Moniter"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>
      <selection activeCell="A2" sqref="A2:G2"/>
    </sheetView>
  </sheetViews>
  <sheetFormatPr defaultRowHeight="15" x14ac:dyDescent="0.25"/>
  <cols>
    <col min="1" max="1" width="13.140625" customWidth="1"/>
    <col min="2" max="2" width="14.42578125" bestFit="1" customWidth="1"/>
    <col min="4" max="4" width="10" customWidth="1"/>
    <col min="6" max="6" width="10.85546875" customWidth="1"/>
    <col min="7" max="7" width="10.28515625" customWidth="1"/>
  </cols>
  <sheetData>
    <row r="1" spans="1:7" x14ac:dyDescent="0.25">
      <c r="A1" s="5" t="s">
        <v>3</v>
      </c>
      <c r="B1" s="5" t="s">
        <v>9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</row>
    <row r="2" spans="1:7" x14ac:dyDescent="0.25">
      <c r="A2" s="6">
        <v>1001</v>
      </c>
      <c r="B2" s="6" t="s">
        <v>10</v>
      </c>
      <c r="C2" s="7">
        <v>45224</v>
      </c>
      <c r="D2" s="6" t="s">
        <v>11</v>
      </c>
      <c r="E2" s="6">
        <v>260</v>
      </c>
      <c r="F2" s="6">
        <v>100</v>
      </c>
      <c r="G2" s="6">
        <f>E2*F2</f>
        <v>26000</v>
      </c>
    </row>
    <row r="3" spans="1:7" x14ac:dyDescent="0.25">
      <c r="A3" s="6">
        <v>1002</v>
      </c>
      <c r="B3" s="6" t="s">
        <v>13</v>
      </c>
      <c r="C3" s="7">
        <v>45416</v>
      </c>
      <c r="D3" s="6" t="s">
        <v>14</v>
      </c>
      <c r="E3" s="6">
        <v>100</v>
      </c>
      <c r="F3" s="6">
        <v>658</v>
      </c>
      <c r="G3" s="6">
        <f>E3*F3</f>
        <v>65800</v>
      </c>
    </row>
    <row r="4" spans="1:7" x14ac:dyDescent="0.25">
      <c r="A4" s="6">
        <v>2001</v>
      </c>
      <c r="B4" s="6" t="s">
        <v>16</v>
      </c>
      <c r="C4" s="7">
        <v>44412</v>
      </c>
      <c r="D4" s="6" t="s">
        <v>14</v>
      </c>
      <c r="E4" s="6">
        <v>150</v>
      </c>
      <c r="F4" s="6">
        <v>450</v>
      </c>
      <c r="G4" s="6">
        <f>E4*F4</f>
        <v>67500</v>
      </c>
    </row>
    <row r="5" spans="1:7" x14ac:dyDescent="0.25">
      <c r="A5" s="6"/>
      <c r="B5" s="6"/>
      <c r="C5" s="7"/>
      <c r="D5" s="6"/>
      <c r="E5" s="6"/>
      <c r="F5" s="6"/>
      <c r="G5" s="6">
        <f>E5*F5</f>
        <v>0</v>
      </c>
    </row>
    <row r="6" spans="1:7" x14ac:dyDescent="0.25">
      <c r="A6" s="6"/>
      <c r="B6" s="6"/>
      <c r="C6" s="7"/>
      <c r="D6" s="6"/>
      <c r="E6" s="6"/>
      <c r="F6" s="6"/>
      <c r="G6" s="6"/>
    </row>
    <row r="7" spans="1:7" x14ac:dyDescent="0.25">
      <c r="G7">
        <f>E7*F7</f>
        <v>0</v>
      </c>
    </row>
  </sheetData>
  <dataValidations count="1">
    <dataValidation type="list" allowBlank="1" showInputMessage="1" showErrorMessage="1" sqref="D2:D6">
      <formula1>"Keyboard,Mouse,Speaker,Moniter"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A2" sqref="A2:G2"/>
    </sheetView>
  </sheetViews>
  <sheetFormatPr defaultRowHeight="15" x14ac:dyDescent="0.25"/>
  <cols>
    <col min="1" max="1" width="13.28515625" bestFit="1" customWidth="1"/>
    <col min="2" max="2" width="12" bestFit="1" customWidth="1"/>
    <col min="3" max="3" width="8.42578125" bestFit="1" customWidth="1"/>
    <col min="4" max="4" width="10.140625" bestFit="1" customWidth="1"/>
    <col min="6" max="6" width="11" bestFit="1" customWidth="1"/>
    <col min="7" max="7" width="10.42578125" bestFit="1" customWidth="1"/>
  </cols>
  <sheetData>
    <row r="1" spans="1:7" x14ac:dyDescent="0.25">
      <c r="A1" s="5" t="s">
        <v>3</v>
      </c>
      <c r="B1" s="5" t="s">
        <v>9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</row>
    <row r="2" spans="1:7" x14ac:dyDescent="0.25">
      <c r="A2" s="6">
        <v>3001</v>
      </c>
      <c r="B2" s="6" t="s">
        <v>17</v>
      </c>
      <c r="C2" s="7">
        <v>44203</v>
      </c>
      <c r="D2" s="6" t="s">
        <v>14</v>
      </c>
      <c r="E2" s="6">
        <v>210</v>
      </c>
      <c r="F2" s="6">
        <v>150</v>
      </c>
      <c r="G2" s="6">
        <f>E2*F2</f>
        <v>31500</v>
      </c>
    </row>
    <row r="3" spans="1:7" x14ac:dyDescent="0.25">
      <c r="A3" s="6">
        <v>3002</v>
      </c>
      <c r="B3" s="6" t="s">
        <v>18</v>
      </c>
      <c r="C3" s="7">
        <v>45689</v>
      </c>
      <c r="D3" s="6" t="s">
        <v>14</v>
      </c>
      <c r="E3" s="6">
        <v>190</v>
      </c>
      <c r="F3" s="6">
        <v>265</v>
      </c>
      <c r="G3" s="6">
        <f>E3*F3</f>
        <v>50350</v>
      </c>
    </row>
    <row r="4" spans="1:7" x14ac:dyDescent="0.25">
      <c r="A4" s="6">
        <v>3003</v>
      </c>
      <c r="B4" s="6" t="s">
        <v>19</v>
      </c>
      <c r="C4" s="7">
        <v>45718</v>
      </c>
      <c r="D4" s="6" t="s">
        <v>11</v>
      </c>
      <c r="E4" s="6">
        <v>190</v>
      </c>
      <c r="F4" s="6">
        <v>900</v>
      </c>
      <c r="G4" s="6">
        <f>E4*F4</f>
        <v>171000</v>
      </c>
    </row>
    <row r="5" spans="1:7" x14ac:dyDescent="0.25">
      <c r="A5" s="6"/>
      <c r="B5" s="6"/>
      <c r="C5" s="7"/>
      <c r="D5" s="6"/>
      <c r="E5" s="6"/>
      <c r="F5" s="6"/>
      <c r="G5" s="6">
        <f>E5*F5</f>
        <v>0</v>
      </c>
    </row>
    <row r="6" spans="1:7" x14ac:dyDescent="0.25">
      <c r="A6" s="6"/>
      <c r="B6" s="6"/>
      <c r="C6" s="7"/>
      <c r="D6" s="6"/>
      <c r="E6" s="6"/>
      <c r="F6" s="6"/>
      <c r="G6" s="6">
        <f>E6*F6</f>
        <v>0</v>
      </c>
    </row>
    <row r="7" spans="1:7" x14ac:dyDescent="0.25">
      <c r="G7">
        <f>E7*F7</f>
        <v>0</v>
      </c>
    </row>
    <row r="8" spans="1:7" x14ac:dyDescent="0.25">
      <c r="G8">
        <f>E8*F8</f>
        <v>0</v>
      </c>
    </row>
  </sheetData>
  <dataValidations count="1">
    <dataValidation type="list" allowBlank="1" showInputMessage="1" showErrorMessage="1" sqref="D2:D6">
      <formula1>"Keyboard,Mouse,Speaker,Moniter"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"/>
  <sheetViews>
    <sheetView tabSelected="1" workbookViewId="0">
      <selection activeCell="N8" sqref="N8"/>
    </sheetView>
  </sheetViews>
  <sheetFormatPr defaultRowHeight="15" x14ac:dyDescent="0.25"/>
  <cols>
    <col min="1" max="1" width="10" customWidth="1"/>
    <col min="2" max="2" width="14.7109375" customWidth="1"/>
    <col min="3" max="3" width="11.28515625" customWidth="1"/>
    <col min="4" max="4" width="16.85546875" customWidth="1"/>
    <col min="8" max="8" width="13.28515625" bestFit="1" customWidth="1"/>
  </cols>
  <sheetData>
    <row r="1" spans="1:8" x14ac:dyDescent="0.25">
      <c r="A1" t="s">
        <v>5</v>
      </c>
      <c r="B1" t="s">
        <v>20</v>
      </c>
      <c r="C1" t="s">
        <v>21</v>
      </c>
      <c r="D1" t="s">
        <v>22</v>
      </c>
    </row>
    <row r="2" spans="1:8" x14ac:dyDescent="0.25">
      <c r="A2" s="5" t="s">
        <v>23</v>
      </c>
      <c r="B2">
        <f>SUMIF('Purchase Data'!D:D,Table4[[#This Row],[Product]],'Purchase Data'!F:F)</f>
        <v>0</v>
      </c>
      <c r="C2">
        <f>SUMIF('Sales Data'!D:D,Table4[[#This Row],[Product]],'Sales Data'!F:F)</f>
        <v>0</v>
      </c>
      <c r="D2">
        <f>Table4[[#This Row],[Purchase Qty]]-Table4[[#This Row],[Sales Qty]]</f>
        <v>0</v>
      </c>
    </row>
    <row r="3" spans="1:8" x14ac:dyDescent="0.25">
      <c r="A3" s="6" t="s">
        <v>11</v>
      </c>
      <c r="B3">
        <f>SUMIF('Purchase Data'!D:D,Table4[[#This Row],[Product]],'Purchase Data'!F:F)</f>
        <v>100</v>
      </c>
      <c r="C3">
        <f>SUMIF('Sales Data'!D:D,Table4[[#This Row],[Product]],'Sales Data'!F:F)</f>
        <v>900</v>
      </c>
      <c r="D3">
        <f>Table4[[#This Row],[Purchase Qty]]-Table4[[#This Row],[Sales Qty]]</f>
        <v>-800</v>
      </c>
    </row>
    <row r="4" spans="1:8" x14ac:dyDescent="0.25">
      <c r="A4" s="6" t="s">
        <v>14</v>
      </c>
      <c r="B4">
        <f>SUMIF('Purchase Data'!D:D,Table4[[#This Row],[Product]],'Purchase Data'!F:F)</f>
        <v>1108</v>
      </c>
      <c r="C4">
        <f>SUMIF('Sales Data'!D:D,Table4[[#This Row],[Product]],'Sales Data'!F:F)</f>
        <v>415</v>
      </c>
      <c r="D4">
        <f>Table4[[#This Row],[Purchase Qty]]-Table4[[#This Row],[Sales Qty]]</f>
        <v>693</v>
      </c>
    </row>
    <row r="5" spans="1:8" x14ac:dyDescent="0.25">
      <c r="B5">
        <f>SUMIF('Purchase Data'!D:D,Table4[[#This Row],[Product]],'Purchase Data'!F:F)</f>
        <v>0</v>
      </c>
      <c r="C5">
        <f>SUMIF('Sales Data'!D:D,Table4[[#This Row],[Product]],'Sales Data'!F:F)</f>
        <v>0</v>
      </c>
      <c r="D5">
        <f>Table4[[#This Row],[Purchase Qty]]-Table4[[#This Row],[Sales Qty]]</f>
        <v>0</v>
      </c>
      <c r="F5" t="s">
        <v>5</v>
      </c>
      <c r="H5" t="s">
        <v>24</v>
      </c>
    </row>
    <row r="6" spans="1:8" x14ac:dyDescent="0.25">
      <c r="B6">
        <f>SUMIF('Purchase Data'!D:D,Table4[[#This Row],[Product]],'Purchase Data'!F:F)</f>
        <v>0</v>
      </c>
      <c r="C6">
        <f>SUMIF('Sales Data'!D:D,Table4[[#This Row],[Product]],'Sales Data'!F:F)</f>
        <v>0</v>
      </c>
      <c r="D6">
        <f>Table4[[#This Row],[Purchase Qty]]-Table4[[#This Row],[Sales Qty]]</f>
        <v>0</v>
      </c>
      <c r="F6" t="str">
        <f>"&lt;&gt;"</f>
        <v>&lt;&gt;</v>
      </c>
      <c r="H6" t="s">
        <v>25</v>
      </c>
    </row>
    <row r="7" spans="1:8" x14ac:dyDescent="0.25">
      <c r="B7">
        <f>SUMIF('Purchase Data'!D:D,Table4[[#This Row],[Product]],'Purchase Data'!F:F)</f>
        <v>0</v>
      </c>
      <c r="C7">
        <f>SUMIF('Sales Data'!D:D,Table4[[#This Row],[Product]],'Sales Data'!F:F)</f>
        <v>0</v>
      </c>
      <c r="D7">
        <f>Table4[[#This Row],[Purchase Qty]]-Table4[[#This Row],[Sales Qty]]</f>
        <v>0</v>
      </c>
    </row>
    <row r="8" spans="1:8" x14ac:dyDescent="0.25">
      <c r="B8">
        <f>SUMIF('Purchase Data'!D:D,Table4[[#This Row],[Product]],'Purchase Data'!F:F)</f>
        <v>0</v>
      </c>
      <c r="C8">
        <f>SUMIF('Sales Data'!D:D,Table4[[#This Row],[Product]],'Sales Data'!F:F)</f>
        <v>0</v>
      </c>
      <c r="D8">
        <f>Table4[[#This Row],[Purchase Qty]]-Table4[[#This Row],[Sales Qty]]</f>
        <v>0</v>
      </c>
    </row>
    <row r="9" spans="1:8" x14ac:dyDescent="0.25">
      <c r="B9">
        <f>SUMIF('Purchase Data'!D:D,Table4[[#This Row],[Product]],'Purchase Data'!F:F)</f>
        <v>0</v>
      </c>
      <c r="C9">
        <f>SUMIF('Sales Data'!D:D,Table4[[#This Row],[Product]],'Sales Data'!F:F)</f>
        <v>0</v>
      </c>
      <c r="D9">
        <f>Table4[[#This Row],[Purchase Qty]]-Table4[[#This Row],[Sales Qty]]</f>
        <v>0</v>
      </c>
    </row>
    <row r="10" spans="1:8" x14ac:dyDescent="0.25">
      <c r="B10">
        <f>SUMIF('Purchase Data'!D:D,Table4[[#This Row],[Product]],'Purchase Data'!F:F)</f>
        <v>0</v>
      </c>
      <c r="C10">
        <f>SUMIF('Sales Data'!D:D,Table4[[#This Row],[Product]],'Sales Data'!F:F)</f>
        <v>0</v>
      </c>
      <c r="D10">
        <f>Table4[[#This Row],[Purchase Qty]]-Table4[[#This Row],[Sales Qty]]</f>
        <v>0</v>
      </c>
    </row>
    <row r="11" spans="1:8" x14ac:dyDescent="0.25">
      <c r="B11">
        <f>SUMIF('Purchase Data'!D:D,Table4[[#This Row],[Product]],'Purchase Data'!F:F)</f>
        <v>0</v>
      </c>
      <c r="C11">
        <f>SUMIF('Sales Data'!D:D,Table4[[#This Row],[Product]],'Sales Data'!F:F)</f>
        <v>0</v>
      </c>
      <c r="D11">
        <f>Table4[[#This Row],[Purchase Qty]]-Table4[[#This Row],[Sales Qty]]</f>
        <v>0</v>
      </c>
    </row>
    <row r="12" spans="1:8" x14ac:dyDescent="0.25">
      <c r="B12">
        <f>SUMIF('Purchase Data'!D:D,Table4[[#This Row],[Product]],'Purchase Data'!F:F)</f>
        <v>0</v>
      </c>
      <c r="C12">
        <f>SUMIF('Sales Data'!D:D,Table4[[#This Row],[Product]],'Sales Data'!F:F)</f>
        <v>0</v>
      </c>
      <c r="D12">
        <f>Table4[[#This Row],[Purchase Qty]]-Table4[[#This Row],[Sales Qty]]</f>
        <v>0</v>
      </c>
    </row>
    <row r="13" spans="1:8" x14ac:dyDescent="0.25">
      <c r="B13">
        <f>SUMIF('Purchase Data'!D:D,Table4[[#This Row],[Product]],'Purchase Data'!F:F)</f>
        <v>0</v>
      </c>
      <c r="C13">
        <f>SUMIF('Sales Data'!D:D,Table4[[#This Row],[Product]],'Sales Data'!F:F)</f>
        <v>0</v>
      </c>
      <c r="D13">
        <f>Table4[[#This Row],[Purchase Qty]]-Table4[[#This Row],[Sales Qty]]</f>
        <v>0</v>
      </c>
    </row>
    <row r="14" spans="1:8" x14ac:dyDescent="0.25">
      <c r="B14">
        <f>SUMIF('Purchase Data'!D:D,Table4[[#This Row],[Product]],'Purchase Data'!F:F)</f>
        <v>0</v>
      </c>
      <c r="C14">
        <f>SUMIF('Sales Data'!D:D,Table4[[#This Row],[Product]],'Sales Data'!F:F)</f>
        <v>0</v>
      </c>
      <c r="D14">
        <f>Table4[[#This Row],[Purchase Qty]]-Table4[[#This Row],[Sales Qty]]</f>
        <v>0</v>
      </c>
    </row>
    <row r="15" spans="1:8" x14ac:dyDescent="0.25">
      <c r="B15">
        <f>SUMIF('Purchase Data'!D:D,Table4[[#This Row],[Product]],'Purchase Data'!F:F)</f>
        <v>0</v>
      </c>
      <c r="C15">
        <f>SUMIF('Sales Data'!D:D,Table4[[#This Row],[Product]],'Sales Data'!F:F)</f>
        <v>0</v>
      </c>
      <c r="D15">
        <f>Table4[[#This Row],[Purchase Qty]]-Table4[[#This Row],[Sales Qty]]</f>
        <v>0</v>
      </c>
    </row>
    <row r="16" spans="1:8" x14ac:dyDescent="0.25">
      <c r="B16">
        <f>SUMIF('Purchase Data'!D:D,Table4[[#This Row],[Product]],'Purchase Data'!F:F)</f>
        <v>0</v>
      </c>
      <c r="C16">
        <f>SUMIF('Sales Data'!D:D,Table4[[#This Row],[Product]],'Sales Data'!F:F)</f>
        <v>0</v>
      </c>
      <c r="D16">
        <f>Table4[[#This Row],[Purchase Qty]]-Table4[[#This Row],[Sales Qty]]</f>
        <v>0</v>
      </c>
    </row>
    <row r="17" spans="2:4" x14ac:dyDescent="0.25">
      <c r="B17">
        <f>SUMIF('Purchase Data'!D:D,Table4[[#This Row],[Product]],'Purchase Data'!F:F)</f>
        <v>0</v>
      </c>
      <c r="C17">
        <f>SUMIF('Sales Data'!D:D,Table4[[#This Row],[Product]],'Sales Data'!F:F)</f>
        <v>0</v>
      </c>
      <c r="D17">
        <f>Table4[[#This Row],[Purchase Qty]]-Table4[[#This Row],[Sales Qty]]</f>
        <v>0</v>
      </c>
    </row>
    <row r="18" spans="2:4" x14ac:dyDescent="0.25">
      <c r="B18">
        <f>SUMIF('Purchase Data'!D:D,Table4[[#This Row],[Product]],'Purchase Data'!F:F)</f>
        <v>0</v>
      </c>
      <c r="C18">
        <f>SUMIF('Sales Data'!D:D,Table4[[#This Row],[Product]],'Sales Data'!F:F)</f>
        <v>0</v>
      </c>
      <c r="D18">
        <f>Table4[[#This Row],[Purchase Qty]]-Table4[[#This Row],[Sales Qty]]</f>
        <v>0</v>
      </c>
    </row>
    <row r="19" spans="2:4" x14ac:dyDescent="0.25">
      <c r="B19">
        <f>SUMIF('Purchase Data'!D:D,Table4[[#This Row],[Product]],'Purchase Data'!F:F)</f>
        <v>0</v>
      </c>
      <c r="C19">
        <f>SUMIF('Sales Data'!D:D,Table4[[#This Row],[Product]],'Sales Data'!F:F)</f>
        <v>0</v>
      </c>
      <c r="D19">
        <f>Table4[[#This Row],[Purchase Qty]]-Table4[[#This Row],[Sales Qty]]</f>
        <v>0</v>
      </c>
    </row>
    <row r="20" spans="2:4" x14ac:dyDescent="0.25">
      <c r="B20">
        <f>SUMIF('Purchase Data'!D:D,Table4[[#This Row],[Product]],'Purchase Data'!F:F)</f>
        <v>0</v>
      </c>
      <c r="C20">
        <f>SUMIF('Sales Data'!D:D,Table4[[#This Row],[Product]],'Sales Data'!F:F)</f>
        <v>0</v>
      </c>
      <c r="D20">
        <f>Table4[[#This Row],[Purchase Qty]]-Table4[[#This Row],[Sales Qty]]</f>
        <v>0</v>
      </c>
    </row>
    <row r="21" spans="2:4" x14ac:dyDescent="0.25">
      <c r="B21">
        <f>SUMIF('Purchase Data'!D:D,Table4[[#This Row],[Product]],'Purchase Data'!F:F)</f>
        <v>0</v>
      </c>
      <c r="C21">
        <f>SUMIF('Sales Data'!D:D,Table4[[#This Row],[Product]],'Sales Data'!F:F)</f>
        <v>0</v>
      </c>
      <c r="D21">
        <f>Table4[[#This Row],[Purchase Qty]]-Table4[[#This Row],[Sales Qty]]</f>
        <v>0</v>
      </c>
    </row>
    <row r="22" spans="2:4" x14ac:dyDescent="0.25">
      <c r="B22">
        <f>SUMIF('Purchase Data'!D:D,Table4[[#This Row],[Product]],'Purchase Data'!F:F)</f>
        <v>0</v>
      </c>
      <c r="C22">
        <f>SUMIF('Sales Data'!D:D,Table4[[#This Row],[Product]],'Sales Data'!F:F)</f>
        <v>0</v>
      </c>
      <c r="D22">
        <f>Table4[[#This Row],[Purchase Qty]]-Table4[[#This Row],[Sales Qty]]</f>
        <v>0</v>
      </c>
    </row>
    <row r="23" spans="2:4" x14ac:dyDescent="0.25">
      <c r="B23">
        <f>SUMIF('Purchase Data'!D:D,Table4[[#This Row],[Product]],'Purchase Data'!F:F)</f>
        <v>0</v>
      </c>
      <c r="C23">
        <f>SUMIF('Sales Data'!D:D,Table4[[#This Row],[Product]],'Sales Data'!F:F)</f>
        <v>0</v>
      </c>
      <c r="D23">
        <f>Table4[[#This Row],[Purchase Qty]]-Table4[[#This Row],[Sales Qty]]</f>
        <v>0</v>
      </c>
    </row>
    <row r="24" spans="2:4" x14ac:dyDescent="0.25">
      <c r="B24">
        <f>SUMIF('Purchase Data'!D:D,Table4[[#This Row],[Product]],'Purchase Data'!F:F)</f>
        <v>0</v>
      </c>
      <c r="C24">
        <f>SUMIF('Sales Data'!D:D,Table4[[#This Row],[Product]],'Sales Data'!F:F)</f>
        <v>0</v>
      </c>
      <c r="D24">
        <f>Table4[[#This Row],[Purchase Qty]]-Table4[[#This Row],[Sales Qty]]</f>
        <v>0</v>
      </c>
    </row>
    <row r="25" spans="2:4" x14ac:dyDescent="0.25">
      <c r="B25">
        <f>SUMIF('Purchase Data'!D:D,Table4[[#This Row],[Product]],'Purchase Data'!F:F)</f>
        <v>0</v>
      </c>
      <c r="C25">
        <f>SUMIF('Sales Data'!D:D,Table4[[#This Row],[Product]],'Sales Data'!F:F)</f>
        <v>0</v>
      </c>
      <c r="D25">
        <f>Table4[[#This Row],[Purchase Qty]]-Table4[[#This Row],[Sales Qty]]</f>
        <v>0</v>
      </c>
    </row>
    <row r="26" spans="2:4" x14ac:dyDescent="0.25">
      <c r="B26">
        <f>SUMIF('Purchase Data'!D:D,Table4[[#This Row],[Product]],'Purchase Data'!F:F)</f>
        <v>0</v>
      </c>
      <c r="C26">
        <f>SUMIF('Sales Data'!D:D,Table4[[#This Row],[Product]],'Sales Data'!F:F)</f>
        <v>0</v>
      </c>
      <c r="D26">
        <f>Table4[[#This Row],[Purchase Qty]]-Table4[[#This Row],[Sales Qty]]</f>
        <v>0</v>
      </c>
    </row>
    <row r="27" spans="2:4" x14ac:dyDescent="0.25">
      <c r="B27">
        <f>SUMIF('Purchase Data'!D:D,Table4[[#This Row],[Product]],'Purchase Data'!F:F)</f>
        <v>0</v>
      </c>
      <c r="C27">
        <f>SUMIF('Sales Data'!D:D,Table4[[#This Row],[Product]],'Sales Data'!F:F)</f>
        <v>0</v>
      </c>
      <c r="D27">
        <f>Table4[[#This Row],[Purchase Qty]]-Table4[[#This Row],[Sales Qty]]</f>
        <v>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Bill Entry</vt:lpstr>
      <vt:lpstr>Purchase Data</vt:lpstr>
      <vt:lpstr>Sales Data</vt:lpstr>
      <vt:lpstr>Stocks</vt:lpstr>
      <vt:lpstr>Stocks!Criteria</vt:lpstr>
      <vt:lpstr>Stocks!Extract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2025-11-27T10:49:13Z</dcterms:created>
  <dcterms:modified xsi:type="dcterms:W3CDTF">2025-11-27T12:19:09Z</dcterms:modified>
</cp:coreProperties>
</file>