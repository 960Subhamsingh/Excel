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B15" i="1"/>
  <c r="C14" i="1"/>
  <c r="D14" i="1"/>
  <c r="E14" i="1"/>
  <c r="F14" i="1"/>
  <c r="G14" i="1"/>
  <c r="B14" i="1"/>
  <c r="C13" i="1"/>
  <c r="D13" i="1"/>
  <c r="E13" i="1"/>
  <c r="F13" i="1"/>
  <c r="G13" i="1"/>
  <c r="B13" i="1"/>
  <c r="C12" i="1"/>
  <c r="D12" i="1"/>
  <c r="E12" i="1"/>
  <c r="F12" i="1"/>
  <c r="G12" i="1"/>
  <c r="B12" i="1"/>
  <c r="C10" i="1"/>
  <c r="D10" i="1"/>
  <c r="E10" i="1"/>
  <c r="F10" i="1"/>
  <c r="G10" i="1"/>
  <c r="B10" i="1"/>
</calcChain>
</file>

<file path=xl/sharedStrings.xml><?xml version="1.0" encoding="utf-8"?>
<sst xmlns="http://schemas.openxmlformats.org/spreadsheetml/2006/main" count="18" uniqueCount="18">
  <si>
    <t>Jan</t>
  </si>
  <si>
    <t>Feb</t>
  </si>
  <si>
    <t>Mar</t>
  </si>
  <si>
    <t>Apr</t>
  </si>
  <si>
    <t>May</t>
  </si>
  <si>
    <t>Supplies</t>
  </si>
  <si>
    <t>Office</t>
  </si>
  <si>
    <t>Utilities</t>
  </si>
  <si>
    <t>Wages</t>
  </si>
  <si>
    <t>Total Exp.</t>
  </si>
  <si>
    <t>June</t>
  </si>
  <si>
    <t>Income</t>
  </si>
  <si>
    <t>Income &amp; Expenses</t>
  </si>
  <si>
    <t>Average Expenses</t>
  </si>
  <si>
    <t>Max Expenses</t>
  </si>
  <si>
    <t>Min Expenses</t>
  </si>
  <si>
    <t>Expenses Count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</si>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</sst>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0">
    <xf numFmtId="0" fontId="0" fillId="0" borderId="0" xfId="0"/>
    <xf numFmtId="9" fontId="0" fillId="0" borderId="0" xfId="0" applyNumberFormat="1"/>
    <xf numFmtId="164" fontId="0" fillId="0" borderId="0" xfId="0" applyNumberFormat="1"/>
    <xf numFmtId="41" fontId="0" fillId="0" borderId="0" xfId="0" applyNumberFormat="1"/>
    <xf numFmtId="41" fontId="0" fillId="0" borderId="3" xfId="0" applyNumberFormat="1" applyBorder="1"/>
    <xf numFmtId="0" fontId="3" fillId="0" borderId="2" xfId="2"/>
    <xf numFmtId="0" fontId="2" fillId="0" borderId="1" xfId="1"/>
    <xf numFmtId="2" fontId="0" fillId="0" borderId="0" xfId="0" applyNumberFormat="1"/>
    <xf numFmtId="41" fontId="1" fillId="0" borderId="0" xfId="0" applyNumberFormat="1" applyFont="1"/>
    <xf numFmtId="0" fontId="2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Views>
    <sheetView tabSelected="1" topLeftCell="A4" zoomScale="120" zoomScaleNormal="120" workbookViewId="0">
      <selection activeCell="D17" sqref="D17"/>
    </sheetView>
  </sheetViews>
  <sheetFormatPr defaultRowHeight="15" x14ac:dyDescent="0.25"/>
  <cols>
    <col min="1" max="1" width="23" bestFit="1" customWidth="1"/>
    <col min="2" max="7" width="11.5703125" bestFit="1" customWidth="1"/>
  </cols>
  <sheetData>
    <row r="1" spans="1:45" ht="20.25" thickBot="1" x14ac:dyDescent="0.35">
      <c r="A1" s="9" t="s">
        <v>12</v>
      </c>
      <c r="B1" s="9"/>
      <c r="C1" s="9"/>
      <c r="D1" s="9"/>
      <c r="E1" s="9"/>
      <c r="F1" s="9"/>
      <c r="G1" s="9"/>
    </row>
    <row r="2" spans="1:45" ht="15.75" thickTop="1" x14ac:dyDescent="0.25">
      <c r="G2" s="1"/>
    </row>
    <row r="3" spans="1:45" s="5" customFormat="1" ht="18" thickBot="1" x14ac:dyDescent="0.35">
      <c r="A3" s="5" t="s">
        <v>17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10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ht="21" thickTop="1" thickBot="1" x14ac:dyDescent="0.35">
      <c r="A4" s="6" t="s">
        <v>11</v>
      </c>
      <c r="B4" s="2">
        <v>12000</v>
      </c>
      <c r="C4" s="2">
        <v>17000</v>
      </c>
      <c r="D4" s="2">
        <v>18500</v>
      </c>
      <c r="E4" s="2">
        <v>16500</v>
      </c>
      <c r="F4" s="2">
        <v>15500</v>
      </c>
      <c r="G4" s="2">
        <v>17050</v>
      </c>
    </row>
    <row r="5" spans="1:45" ht="21" thickTop="1" thickBot="1" x14ac:dyDescent="0.35">
      <c r="A5" s="6"/>
      <c r="B5" s="2"/>
      <c r="C5" s="2"/>
      <c r="D5" s="2"/>
      <c r="E5" s="2"/>
      <c r="F5" s="2"/>
      <c r="G5" s="2"/>
    </row>
    <row r="6" spans="1:45" ht="21" thickTop="1" thickBot="1" x14ac:dyDescent="0.35">
      <c r="A6" s="6" t="s">
        <v>5</v>
      </c>
      <c r="B6" s="3">
        <v>1200</v>
      </c>
      <c r="C6" s="3">
        <v>2500</v>
      </c>
      <c r="D6" s="3">
        <v>3000</v>
      </c>
      <c r="E6" s="3">
        <v>3500</v>
      </c>
      <c r="F6" s="3">
        <v>3500</v>
      </c>
      <c r="G6" s="3">
        <v>3850</v>
      </c>
    </row>
    <row r="7" spans="1:45" ht="21" thickTop="1" thickBot="1" x14ac:dyDescent="0.35">
      <c r="A7" s="6" t="s">
        <v>6</v>
      </c>
      <c r="B7" s="3">
        <v>500</v>
      </c>
      <c r="C7" s="3">
        <v>600</v>
      </c>
      <c r="D7" s="3">
        <v>700</v>
      </c>
      <c r="E7" s="3">
        <v>800</v>
      </c>
      <c r="F7" s="3">
        <v>800</v>
      </c>
      <c r="G7" s="3">
        <v>880</v>
      </c>
    </row>
    <row r="8" spans="1:45" ht="21" thickTop="1" thickBot="1" x14ac:dyDescent="0.35">
      <c r="A8" s="6" t="s">
        <v>8</v>
      </c>
      <c r="B8" s="3">
        <v>7000</v>
      </c>
      <c r="C8" s="3">
        <v>7000</v>
      </c>
      <c r="D8" s="3">
        <v>7000</v>
      </c>
      <c r="E8" s="3">
        <v>7000</v>
      </c>
      <c r="F8" s="3">
        <v>7000</v>
      </c>
      <c r="G8" s="3">
        <v>7700</v>
      </c>
    </row>
    <row r="9" spans="1:45" ht="21" thickTop="1" thickBot="1" x14ac:dyDescent="0.35">
      <c r="A9" s="6" t="s">
        <v>7</v>
      </c>
      <c r="B9" s="3">
        <v>3000</v>
      </c>
      <c r="C9" s="3">
        <v>3000</v>
      </c>
      <c r="D9" s="3">
        <v>3000</v>
      </c>
      <c r="E9" s="3">
        <v>4000</v>
      </c>
      <c r="F9" s="3">
        <v>4000</v>
      </c>
      <c r="G9" s="3">
        <v>4400</v>
      </c>
    </row>
    <row r="10" spans="1:45" ht="21" thickTop="1" thickBot="1" x14ac:dyDescent="0.35">
      <c r="A10" s="6" t="s">
        <v>9</v>
      </c>
      <c r="B10" s="4">
        <f>SUM(B6:B9)</f>
        <v>11700</v>
      </c>
      <c r="C10" s="4">
        <f t="shared" ref="C10:G10" si="0">SUM(C6:C9)</f>
        <v>13100</v>
      </c>
      <c r="D10" s="4">
        <f t="shared" si="0"/>
        <v>13700</v>
      </c>
      <c r="E10" s="4">
        <f t="shared" si="0"/>
        <v>15300</v>
      </c>
      <c r="F10" s="4">
        <f t="shared" si="0"/>
        <v>15300</v>
      </c>
      <c r="G10" s="4">
        <f t="shared" si="0"/>
        <v>16830</v>
      </c>
    </row>
    <row r="11" spans="1:45" ht="21" thickTop="1" thickBot="1" x14ac:dyDescent="0.35">
      <c r="A11" s="6"/>
      <c r="B11" s="2"/>
      <c r="C11" s="2"/>
      <c r="D11" s="2"/>
      <c r="E11" s="2"/>
      <c r="F11" s="2"/>
      <c r="G11" s="2"/>
    </row>
    <row r="12" spans="1:45" ht="21" thickTop="1" thickBot="1" x14ac:dyDescent="0.35">
      <c r="A12" s="6" t="s">
        <v>13</v>
      </c>
      <c r="B12" s="7">
        <f>AVERAGE(B6:B9)</f>
        <v>2925</v>
      </c>
      <c r="C12" s="7">
        <f t="shared" ref="C12:G12" si="1">AVERAGE(C6:C9)</f>
        <v>3275</v>
      </c>
      <c r="D12" s="7">
        <f t="shared" si="1"/>
        <v>3425</v>
      </c>
      <c r="E12" s="7">
        <f t="shared" si="1"/>
        <v>3825</v>
      </c>
      <c r="F12" s="7">
        <f t="shared" si="1"/>
        <v>3825</v>
      </c>
      <c r="G12" s="7">
        <f t="shared" si="1"/>
        <v>4207.5</v>
      </c>
    </row>
    <row r="13" spans="1:45" ht="21" thickTop="1" thickBot="1" x14ac:dyDescent="0.35">
      <c r="A13" s="6" t="s">
        <v>14</v>
      </c>
      <c r="B13" s="3">
        <f>MAX(B6:B9)</f>
        <v>7000</v>
      </c>
      <c r="C13" s="3">
        <f t="shared" ref="C13:G13" si="2">MAX(C6:C9)</f>
        <v>7000</v>
      </c>
      <c r="D13" s="3">
        <f t="shared" si="2"/>
        <v>7000</v>
      </c>
      <c r="E13" s="3">
        <f t="shared" si="2"/>
        <v>7000</v>
      </c>
      <c r="F13" s="3">
        <f t="shared" si="2"/>
        <v>7000</v>
      </c>
      <c r="G13" s="3">
        <f t="shared" si="2"/>
        <v>7700</v>
      </c>
    </row>
    <row r="14" spans="1:45" ht="21" thickTop="1" thickBot="1" x14ac:dyDescent="0.35">
      <c r="A14" s="6" t="s">
        <v>15</v>
      </c>
      <c r="B14" s="8">
        <f>MIN(B6:B9)</f>
        <v>500</v>
      </c>
      <c r="C14" s="8">
        <f t="shared" ref="C14:G14" si="3">MIN(C6:C9)</f>
        <v>600</v>
      </c>
      <c r="D14" s="8">
        <f t="shared" si="3"/>
        <v>700</v>
      </c>
      <c r="E14" s="8">
        <f t="shared" si="3"/>
        <v>800</v>
      </c>
      <c r="F14" s="8">
        <f t="shared" si="3"/>
        <v>800</v>
      </c>
      <c r="G14" s="8">
        <f t="shared" si="3"/>
        <v>880</v>
      </c>
    </row>
    <row r="15" spans="1:45" ht="21" thickTop="1" thickBot="1" x14ac:dyDescent="0.35">
      <c r="A15" s="6" t="s">
        <v>16</v>
      </c>
      <c r="B15">
        <f>COUNT(B6:B9)</f>
        <v>4</v>
      </c>
      <c r="C15">
        <f t="shared" ref="C15:G15" si="4">COUNT(C6:C9)</f>
        <v>4</v>
      </c>
      <c r="D15">
        <f t="shared" si="4"/>
        <v>4</v>
      </c>
      <c r="E15">
        <f t="shared" si="4"/>
        <v>4</v>
      </c>
      <c r="F15">
        <f t="shared" si="4"/>
        <v>4</v>
      </c>
      <c r="G15">
        <f t="shared" si="4"/>
        <v>4</v>
      </c>
    </row>
    <row r="16" spans="1:45" ht="15.75" thickTop="1" x14ac:dyDescent="0.25"/>
  </sheetData>
  <mergeCells count="1">
    <mergeCell ref="A1:G1"/>
  </mergeCells>
  <pageMargins left="0.7" right="0.7" top="0.75" bottom="0.75" header="0.3" footer="0.3"/>
  <pageSetup orientation="portrait" horizontalDpi="355" verticalDpi="35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CustomGuide,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hp</cp:lastModifiedBy>
  <cp:lastPrinted>2006-06-21T19:22:16Z</cp:lastPrinted>
  <dcterms:created xsi:type="dcterms:W3CDTF">2006-06-02T19:06:14Z</dcterms:created>
  <dcterms:modified xsi:type="dcterms:W3CDTF">2025-10-28T00:01:47Z</dcterms:modified>
</cp:coreProperties>
</file>