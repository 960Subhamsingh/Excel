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1\"/>
    </mc:Choice>
  </mc:AlternateContent>
  <bookViews>
    <workbookView xWindow="-28920" yWindow="-120" windowWidth="29040" windowHeight="1644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2" i="1"/>
</calcChain>
</file>

<file path=xl/sharedStrings.xml><?xml version="1.0" encoding="utf-8"?>
<sst xmlns="http://schemas.openxmlformats.org/spreadsheetml/2006/main" count="128" uniqueCount="78">
  <si>
    <t>Date</t>
  </si>
  <si>
    <t>Office Name</t>
  </si>
  <si>
    <t>Amount</t>
  </si>
  <si>
    <t>Tickets</t>
  </si>
  <si>
    <t>Total</t>
  </si>
  <si>
    <t>Commission</t>
  </si>
  <si>
    <t>Spring Lake Park Washington, D.C. 1343</t>
  </si>
  <si>
    <t>Yes</t>
  </si>
  <si>
    <t>Maplewood Los Angeles 1324</t>
  </si>
  <si>
    <t>No</t>
  </si>
  <si>
    <t>Minneapolis New York 1234</t>
  </si>
  <si>
    <t>Fargo Washington, D.C. 2355</t>
  </si>
  <si>
    <t>Brooklyn Center New York 1235</t>
  </si>
  <si>
    <t>Brainerd New York 1234</t>
  </si>
  <si>
    <t>Hibbing Washington, D.C. 1234</t>
  </si>
  <si>
    <t>St. Paul St. Louis 4455</t>
  </si>
  <si>
    <t>Hibbing Dallas 4455</t>
  </si>
  <si>
    <t>Duluth Norfolk 1423</t>
  </si>
  <si>
    <t>Bloomington Duluth 4552</t>
  </si>
  <si>
    <t>Duluth Duluth 7896</t>
  </si>
  <si>
    <t>Fargo Toronto 4552</t>
  </si>
  <si>
    <t>St. Peter Duluth 4125</t>
  </si>
  <si>
    <t>Bloomington Houston 7789</t>
  </si>
  <si>
    <t>Maplewood Toronto 1258</t>
  </si>
  <si>
    <t>Duluth Philadelphia 4156</t>
  </si>
  <si>
    <t>Edina Boston 7852</t>
  </si>
  <si>
    <t>Brooklyn Center Milwaukee 4546</t>
  </si>
  <si>
    <t>Brooklyn Center Chicago 1248</t>
  </si>
  <si>
    <t>St. Peter Dallas 7852</t>
  </si>
  <si>
    <t>Edina Los Angeles 4521</t>
  </si>
  <si>
    <t>Two Harbors New York 1245</t>
  </si>
  <si>
    <t>Spring Lake Park New York 4521</t>
  </si>
  <si>
    <t>Bloomington Toronto 1236</t>
  </si>
  <si>
    <t>Two Harbors Los Angeles 1213</t>
  </si>
  <si>
    <t>St. Peter Los Angeles 1456</t>
  </si>
  <si>
    <t>Bloomington Duluth 4578</t>
  </si>
  <si>
    <t>Rochester St. Louis 4563</t>
  </si>
  <si>
    <t>Customer Satisfaction Rate</t>
  </si>
  <si>
    <t>Office Code</t>
  </si>
  <si>
    <t>Name</t>
  </si>
  <si>
    <t>Antonio Rommero</t>
  </si>
  <si>
    <t>LeAnne Chang</t>
  </si>
  <si>
    <t>Julie Fredricks</t>
  </si>
  <si>
    <t>Janelle Olness</t>
  </si>
  <si>
    <t>Anne Olson</t>
  </si>
  <si>
    <t>Anna Torkleson</t>
  </si>
  <si>
    <t>Maria Rodriguez</t>
  </si>
  <si>
    <t>Darlene Clay</t>
  </si>
  <si>
    <t>Jason Trent</t>
  </si>
  <si>
    <t>Brian Kipp</t>
  </si>
  <si>
    <t>Alice Lindgram</t>
  </si>
  <si>
    <t>Bernice Young</t>
  </si>
  <si>
    <t>Julie Swanson</t>
  </si>
  <si>
    <t>Joseph Black</t>
  </si>
  <si>
    <t>Rachel Lyons</t>
  </si>
  <si>
    <t>Harrison Thompson</t>
  </si>
  <si>
    <t>Phillip Grahams</t>
  </si>
  <si>
    <t>Roger Wilson</t>
  </si>
  <si>
    <t>Tony Chekov</t>
  </si>
  <si>
    <t>Wendy Nelson</t>
  </si>
  <si>
    <t>Jennifer Jordon</t>
  </si>
  <si>
    <t>Bruce Thorgood</t>
  </si>
  <si>
    <t>Ruth James</t>
  </si>
  <si>
    <t>Aaron Burr</t>
  </si>
  <si>
    <t>Customer Location Code</t>
  </si>
  <si>
    <t>1234-New York</t>
  </si>
  <si>
    <t>4455-Atlanta</t>
  </si>
  <si>
    <t>4223-Miami</t>
  </si>
  <si>
    <t>3223-Seattle</t>
  </si>
  <si>
    <t>5577-LA</t>
  </si>
  <si>
    <t>2456-Las Vegas</t>
  </si>
  <si>
    <t>4433-Denver</t>
  </si>
  <si>
    <t>4477-San Diego</t>
  </si>
  <si>
    <t>3322-Orlando</t>
  </si>
  <si>
    <t>4455-Houston</t>
  </si>
  <si>
    <t>2266-New Orleans</t>
  </si>
  <si>
    <t>Customer Location &amp; Code</t>
  </si>
  <si>
    <t>Customer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</si>
</sst>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right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0"/>
  <sheetViews>
    <sheetView tabSelected="1" topLeftCell="D1" workbookViewId="0">
      <selection activeCell="F5" sqref="F5"/>
    </sheetView>
  </sheetViews>
  <sheetFormatPr defaultColWidth="12.5703125" defaultRowHeight="15.75" customHeight="1" x14ac:dyDescent="0.2"/>
  <cols>
    <col min="2" max="2" width="17.28515625" bestFit="1" customWidth="1"/>
    <col min="3" max="3" width="23.7109375" bestFit="1" customWidth="1"/>
    <col min="4" max="4" width="23.7109375" customWidth="1"/>
    <col min="5" max="5" width="36" bestFit="1" customWidth="1"/>
    <col min="6" max="6" width="20.42578125" customWidth="1"/>
    <col min="11" max="11" width="26" bestFit="1" customWidth="1"/>
    <col min="12" max="12" width="14.42578125" bestFit="1" customWidth="1"/>
  </cols>
  <sheetData>
    <row r="1" spans="1:12" x14ac:dyDescent="0.2">
      <c r="A1" s="1" t="s">
        <v>0</v>
      </c>
      <c r="B1" s="1" t="s">
        <v>39</v>
      </c>
      <c r="C1" s="6" t="s">
        <v>76</v>
      </c>
      <c r="D1" s="1" t="s">
        <v>64</v>
      </c>
      <c r="E1" s="1" t="s">
        <v>1</v>
      </c>
      <c r="F1" s="1" t="s">
        <v>38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37</v>
      </c>
      <c r="L1" s="6" t="s">
        <v>77</v>
      </c>
    </row>
    <row r="2" spans="1:12" x14ac:dyDescent="0.2">
      <c r="A2" s="2">
        <v>40181</v>
      </c>
      <c r="B2" s="2" t="s">
        <v>40</v>
      </c>
      <c r="C2" s="2" t="s">
        <v>65</v>
      </c>
      <c r="E2" s="4" t="s">
        <v>6</v>
      </c>
      <c r="F2" t="str">
        <f>RIGHT(E2,4)</f>
        <v>1343</v>
      </c>
      <c r="G2" s="4">
        <v>399</v>
      </c>
      <c r="H2" s="5">
        <v>1</v>
      </c>
      <c r="I2" s="4">
        <v>399</v>
      </c>
      <c r="J2" s="3" t="s">
        <v>7</v>
      </c>
      <c r="K2">
        <v>0.68988408093455023</v>
      </c>
      <c r="L2" t="str">
        <f>MID(K2,2,3)</f>
        <v>.68</v>
      </c>
    </row>
    <row r="3" spans="1:12" x14ac:dyDescent="0.2">
      <c r="A3" s="2">
        <v>40225</v>
      </c>
      <c r="B3" s="2" t="s">
        <v>41</v>
      </c>
      <c r="C3" s="2" t="s">
        <v>66</v>
      </c>
      <c r="E3" s="4" t="s">
        <v>8</v>
      </c>
      <c r="G3" s="4">
        <v>295</v>
      </c>
      <c r="H3" s="5">
        <v>2</v>
      </c>
      <c r="I3" s="4">
        <v>590</v>
      </c>
      <c r="J3" s="3" t="s">
        <v>9</v>
      </c>
      <c r="K3">
        <v>0.58253474781900227</v>
      </c>
      <c r="L3" t="str">
        <f t="shared" ref="L3:L30" si="0">MID(K3,2,3)</f>
        <v>.58</v>
      </c>
    </row>
    <row r="4" spans="1:12" x14ac:dyDescent="0.2">
      <c r="A4" s="2">
        <v>40228</v>
      </c>
      <c r="B4" s="2" t="s">
        <v>42</v>
      </c>
      <c r="C4" s="2" t="s">
        <v>67</v>
      </c>
      <c r="E4" s="4" t="s">
        <v>10</v>
      </c>
      <c r="G4" s="4">
        <v>349</v>
      </c>
      <c r="H4" s="5">
        <v>2</v>
      </c>
      <c r="I4" s="4">
        <v>698</v>
      </c>
      <c r="J4" s="3" t="s">
        <v>7</v>
      </c>
      <c r="K4">
        <v>0.34003523068248509</v>
      </c>
      <c r="L4" t="str">
        <f t="shared" si="0"/>
        <v>.34</v>
      </c>
    </row>
    <row r="5" spans="1:12" x14ac:dyDescent="0.2">
      <c r="A5" s="2">
        <v>40236</v>
      </c>
      <c r="B5" s="2" t="s">
        <v>43</v>
      </c>
      <c r="C5" s="2" t="s">
        <v>68</v>
      </c>
      <c r="E5" s="4" t="s">
        <v>11</v>
      </c>
      <c r="G5" s="4">
        <v>399</v>
      </c>
      <c r="H5" s="5">
        <v>2</v>
      </c>
      <c r="I5" s="4">
        <v>798</v>
      </c>
      <c r="J5" s="3" t="s">
        <v>7</v>
      </c>
      <c r="K5">
        <v>0.87006969042303339</v>
      </c>
      <c r="L5" t="str">
        <f t="shared" si="0"/>
        <v>.87</v>
      </c>
    </row>
    <row r="6" spans="1:12" x14ac:dyDescent="0.2">
      <c r="A6" s="2">
        <v>40264</v>
      </c>
      <c r="B6" s="2" t="s">
        <v>44</v>
      </c>
      <c r="C6" s="2" t="s">
        <v>65</v>
      </c>
      <c r="E6" s="4" t="s">
        <v>12</v>
      </c>
      <c r="G6" s="4">
        <v>349</v>
      </c>
      <c r="H6" s="5">
        <v>1</v>
      </c>
      <c r="I6" s="4">
        <v>349</v>
      </c>
      <c r="J6" s="3" t="s">
        <v>7</v>
      </c>
      <c r="K6">
        <v>0.65787427781932906</v>
      </c>
      <c r="L6" t="str">
        <f t="shared" si="0"/>
        <v>.65</v>
      </c>
    </row>
    <row r="7" spans="1:12" x14ac:dyDescent="0.2">
      <c r="A7" s="2">
        <v>40264</v>
      </c>
      <c r="B7" s="2" t="s">
        <v>45</v>
      </c>
      <c r="C7" s="2" t="s">
        <v>66</v>
      </c>
      <c r="E7" s="4" t="s">
        <v>13</v>
      </c>
      <c r="G7" s="4">
        <v>349</v>
      </c>
      <c r="H7" s="5">
        <v>2</v>
      </c>
      <c r="I7" s="4">
        <v>698</v>
      </c>
      <c r="J7" s="3" t="s">
        <v>7</v>
      </c>
      <c r="K7">
        <v>0.8705167514588803</v>
      </c>
      <c r="L7" t="str">
        <f t="shared" si="0"/>
        <v>.87</v>
      </c>
    </row>
    <row r="8" spans="1:12" x14ac:dyDescent="0.2">
      <c r="A8" s="2">
        <v>40267</v>
      </c>
      <c r="B8" s="2" t="s">
        <v>46</v>
      </c>
      <c r="C8" s="2" t="s">
        <v>69</v>
      </c>
      <c r="E8" s="4" t="s">
        <v>14</v>
      </c>
      <c r="G8" s="4">
        <v>399</v>
      </c>
      <c r="H8" s="5">
        <v>1</v>
      </c>
      <c r="I8" s="4">
        <v>399</v>
      </c>
      <c r="J8" s="3" t="s">
        <v>7</v>
      </c>
      <c r="K8">
        <v>0.81507353489056178</v>
      </c>
      <c r="L8" t="str">
        <f t="shared" si="0"/>
        <v>.81</v>
      </c>
    </row>
    <row r="9" spans="1:12" x14ac:dyDescent="0.2">
      <c r="A9" s="2">
        <v>40288</v>
      </c>
      <c r="B9" s="2" t="s">
        <v>47</v>
      </c>
      <c r="C9" s="2" t="s">
        <v>70</v>
      </c>
      <c r="E9" s="4" t="s">
        <v>15</v>
      </c>
      <c r="G9" s="4">
        <v>299</v>
      </c>
      <c r="H9" s="5">
        <v>5</v>
      </c>
      <c r="I9" s="4">
        <v>1495</v>
      </c>
      <c r="J9" s="3" t="s">
        <v>7</v>
      </c>
      <c r="K9">
        <v>0.70044596289148242</v>
      </c>
      <c r="L9" t="str">
        <f t="shared" si="0"/>
        <v>.70</v>
      </c>
    </row>
    <row r="10" spans="1:12" x14ac:dyDescent="0.2">
      <c r="A10" s="2">
        <v>40298</v>
      </c>
      <c r="B10" s="2" t="s">
        <v>48</v>
      </c>
      <c r="C10" s="2" t="s">
        <v>71</v>
      </c>
      <c r="E10" s="4" t="s">
        <v>16</v>
      </c>
      <c r="G10" s="4">
        <v>187</v>
      </c>
      <c r="H10" s="5">
        <v>2</v>
      </c>
      <c r="I10" s="4">
        <v>374</v>
      </c>
      <c r="J10" s="3" t="s">
        <v>7</v>
      </c>
      <c r="K10">
        <v>0.17208646730632415</v>
      </c>
      <c r="L10" t="str">
        <f t="shared" si="0"/>
        <v>.17</v>
      </c>
    </row>
    <row r="11" spans="1:12" x14ac:dyDescent="0.2">
      <c r="A11" s="2">
        <v>40303</v>
      </c>
      <c r="B11" s="2" t="s">
        <v>49</v>
      </c>
      <c r="C11" s="2" t="s">
        <v>72</v>
      </c>
      <c r="E11" s="4" t="s">
        <v>17</v>
      </c>
      <c r="G11" s="4">
        <v>469</v>
      </c>
      <c r="H11" s="5">
        <v>1</v>
      </c>
      <c r="I11" s="4">
        <v>469</v>
      </c>
      <c r="J11" s="3" t="s">
        <v>7</v>
      </c>
      <c r="K11">
        <v>0.30490055699221241</v>
      </c>
      <c r="L11" t="str">
        <f t="shared" si="0"/>
        <v>.30</v>
      </c>
    </row>
    <row r="12" spans="1:12" x14ac:dyDescent="0.2">
      <c r="A12" s="2">
        <v>40327</v>
      </c>
      <c r="B12" s="2" t="s">
        <v>50</v>
      </c>
      <c r="C12" s="2" t="s">
        <v>73</v>
      </c>
      <c r="E12" s="4" t="s">
        <v>18</v>
      </c>
      <c r="G12" s="4">
        <v>149</v>
      </c>
      <c r="H12" s="5">
        <v>3</v>
      </c>
      <c r="I12" s="4">
        <v>447</v>
      </c>
      <c r="J12" s="3" t="s">
        <v>9</v>
      </c>
      <c r="K12">
        <v>0.11419239558434668</v>
      </c>
      <c r="L12" t="str">
        <f t="shared" si="0"/>
        <v>.11</v>
      </c>
    </row>
    <row r="13" spans="1:12" x14ac:dyDescent="0.2">
      <c r="A13" s="2">
        <v>40338</v>
      </c>
      <c r="B13" s="2" t="s">
        <v>51</v>
      </c>
      <c r="C13" s="2" t="s">
        <v>69</v>
      </c>
      <c r="E13" s="4" t="s">
        <v>19</v>
      </c>
      <c r="G13" s="4">
        <v>149</v>
      </c>
      <c r="H13" s="5">
        <v>2</v>
      </c>
      <c r="I13" s="4">
        <v>298</v>
      </c>
      <c r="J13" s="3" t="s">
        <v>9</v>
      </c>
      <c r="K13">
        <v>0.16066982402036434</v>
      </c>
      <c r="L13" t="str">
        <f t="shared" si="0"/>
        <v>.16</v>
      </c>
    </row>
    <row r="14" spans="1:12" x14ac:dyDescent="0.2">
      <c r="A14" s="2">
        <v>40347</v>
      </c>
      <c r="B14" s="2" t="s">
        <v>43</v>
      </c>
      <c r="C14" s="2" t="s">
        <v>73</v>
      </c>
      <c r="E14" s="4" t="s">
        <v>20</v>
      </c>
      <c r="G14" s="4">
        <v>349</v>
      </c>
      <c r="H14" s="5">
        <v>1</v>
      </c>
      <c r="I14" s="4">
        <v>349</v>
      </c>
      <c r="J14" s="3" t="s">
        <v>7</v>
      </c>
      <c r="K14">
        <v>5.9739559301171696E-2</v>
      </c>
      <c r="L14" t="str">
        <f t="shared" si="0"/>
        <v>.05</v>
      </c>
    </row>
    <row r="15" spans="1:12" x14ac:dyDescent="0.2">
      <c r="A15" s="2">
        <v>40358</v>
      </c>
      <c r="B15" s="2" t="s">
        <v>52</v>
      </c>
      <c r="C15" s="2" t="s">
        <v>67</v>
      </c>
      <c r="E15" s="4" t="s">
        <v>21</v>
      </c>
      <c r="G15" s="4">
        <v>149</v>
      </c>
      <c r="H15" s="5">
        <v>3</v>
      </c>
      <c r="I15" s="4">
        <v>447</v>
      </c>
      <c r="J15" s="3" t="s">
        <v>9</v>
      </c>
      <c r="K15">
        <v>2.0035262113773933E-2</v>
      </c>
      <c r="L15" t="str">
        <f t="shared" si="0"/>
        <v>.02</v>
      </c>
    </row>
    <row r="16" spans="1:12" x14ac:dyDescent="0.2">
      <c r="A16" s="2">
        <v>40188</v>
      </c>
      <c r="B16" s="2" t="s">
        <v>53</v>
      </c>
      <c r="C16" s="2" t="s">
        <v>65</v>
      </c>
      <c r="E16" s="4" t="s">
        <v>22</v>
      </c>
      <c r="G16" s="4">
        <v>185</v>
      </c>
      <c r="H16" s="5">
        <v>2</v>
      </c>
      <c r="I16" s="4">
        <v>370</v>
      </c>
      <c r="J16" s="3" t="s">
        <v>7</v>
      </c>
      <c r="K16">
        <v>0.76510129406933958</v>
      </c>
      <c r="L16" t="str">
        <f t="shared" si="0"/>
        <v>.76</v>
      </c>
    </row>
    <row r="17" spans="1:12" x14ac:dyDescent="0.2">
      <c r="A17" s="2">
        <v>40198</v>
      </c>
      <c r="B17" s="2" t="s">
        <v>54</v>
      </c>
      <c r="C17" s="2" t="s">
        <v>66</v>
      </c>
      <c r="E17" s="4" t="s">
        <v>23</v>
      </c>
      <c r="G17" s="4">
        <v>349</v>
      </c>
      <c r="H17" s="5">
        <v>1</v>
      </c>
      <c r="I17" s="4">
        <v>349</v>
      </c>
      <c r="J17" s="3" t="s">
        <v>7</v>
      </c>
      <c r="K17">
        <v>0.89761513726710163</v>
      </c>
      <c r="L17" t="str">
        <f t="shared" si="0"/>
        <v>.89</v>
      </c>
    </row>
    <row r="18" spans="1:12" x14ac:dyDescent="0.2">
      <c r="A18" s="2">
        <v>40211</v>
      </c>
      <c r="B18" s="2" t="s">
        <v>55</v>
      </c>
      <c r="C18" s="2" t="s">
        <v>67</v>
      </c>
      <c r="E18" s="4" t="s">
        <v>24</v>
      </c>
      <c r="G18" s="4">
        <v>399</v>
      </c>
      <c r="H18" s="5">
        <v>1</v>
      </c>
      <c r="I18" s="4">
        <v>399</v>
      </c>
      <c r="J18" s="3" t="s">
        <v>7</v>
      </c>
      <c r="K18">
        <v>0.50066978584086941</v>
      </c>
      <c r="L18" t="str">
        <f t="shared" si="0"/>
        <v>.50</v>
      </c>
    </row>
    <row r="19" spans="1:12" x14ac:dyDescent="0.2">
      <c r="A19" s="2">
        <v>40226</v>
      </c>
      <c r="B19" s="2" t="s">
        <v>56</v>
      </c>
      <c r="C19" s="2" t="s">
        <v>65</v>
      </c>
      <c r="E19" s="4" t="s">
        <v>25</v>
      </c>
      <c r="G19" s="4">
        <v>365</v>
      </c>
      <c r="H19" s="5">
        <v>1</v>
      </c>
      <c r="I19" s="4">
        <v>365</v>
      </c>
      <c r="J19" s="3" t="s">
        <v>7</v>
      </c>
      <c r="K19">
        <v>0.37432762075458048</v>
      </c>
      <c r="L19" t="str">
        <f t="shared" si="0"/>
        <v>.37</v>
      </c>
    </row>
    <row r="20" spans="1:12" x14ac:dyDescent="0.2">
      <c r="A20" s="2">
        <v>40234</v>
      </c>
      <c r="B20" s="2" t="s">
        <v>44</v>
      </c>
      <c r="C20" s="2" t="s">
        <v>66</v>
      </c>
      <c r="E20" s="4" t="s">
        <v>26</v>
      </c>
      <c r="G20" s="4">
        <v>285</v>
      </c>
      <c r="H20" s="5">
        <v>2</v>
      </c>
      <c r="I20" s="4">
        <v>570</v>
      </c>
      <c r="J20" s="3" t="s">
        <v>9</v>
      </c>
      <c r="K20">
        <v>0.58793657005030653</v>
      </c>
      <c r="L20" t="str">
        <f t="shared" si="0"/>
        <v>.58</v>
      </c>
    </row>
    <row r="21" spans="1:12" x14ac:dyDescent="0.2">
      <c r="A21" s="2">
        <v>40252</v>
      </c>
      <c r="B21" s="2" t="s">
        <v>57</v>
      </c>
      <c r="C21" s="2" t="s">
        <v>69</v>
      </c>
      <c r="E21" s="4" t="s">
        <v>27</v>
      </c>
      <c r="G21" s="4">
        <v>199</v>
      </c>
      <c r="H21" s="5">
        <v>2</v>
      </c>
      <c r="I21" s="4">
        <v>398</v>
      </c>
      <c r="J21" s="3" t="s">
        <v>9</v>
      </c>
      <c r="K21">
        <v>3.8900749473335661E-2</v>
      </c>
      <c r="L21" t="str">
        <f t="shared" si="0"/>
        <v>.03</v>
      </c>
    </row>
    <row r="22" spans="1:12" x14ac:dyDescent="0.2">
      <c r="A22" s="2">
        <v>40261</v>
      </c>
      <c r="B22" s="2" t="s">
        <v>52</v>
      </c>
      <c r="C22" s="2" t="s">
        <v>70</v>
      </c>
      <c r="E22" s="4" t="s">
        <v>28</v>
      </c>
      <c r="G22" s="4">
        <v>187</v>
      </c>
      <c r="H22" s="5">
        <v>2</v>
      </c>
      <c r="I22" s="4">
        <v>374</v>
      </c>
      <c r="J22" s="3" t="s">
        <v>9</v>
      </c>
      <c r="K22">
        <v>0.27650122265456767</v>
      </c>
      <c r="L22" t="str">
        <f t="shared" si="0"/>
        <v>.27</v>
      </c>
    </row>
    <row r="23" spans="1:12" x14ac:dyDescent="0.2">
      <c r="A23" s="2">
        <v>40262</v>
      </c>
      <c r="B23" s="2" t="s">
        <v>58</v>
      </c>
      <c r="C23" s="2" t="s">
        <v>69</v>
      </c>
      <c r="E23" s="4" t="s">
        <v>29</v>
      </c>
      <c r="G23" s="4">
        <v>295</v>
      </c>
      <c r="H23" s="5">
        <v>2</v>
      </c>
      <c r="I23" s="4">
        <v>590</v>
      </c>
      <c r="J23" s="3" t="s">
        <v>7</v>
      </c>
      <c r="K23">
        <v>0.19858955918667864</v>
      </c>
      <c r="L23" t="str">
        <f t="shared" si="0"/>
        <v>.19</v>
      </c>
    </row>
    <row r="24" spans="1:12" x14ac:dyDescent="0.2">
      <c r="A24" s="2">
        <v>40264</v>
      </c>
      <c r="B24" s="2" t="s">
        <v>59</v>
      </c>
      <c r="C24" s="2" t="s">
        <v>73</v>
      </c>
      <c r="E24" s="4" t="s">
        <v>30</v>
      </c>
      <c r="G24" s="4">
        <v>349</v>
      </c>
      <c r="H24" s="5">
        <v>2</v>
      </c>
      <c r="I24" s="4">
        <v>698</v>
      </c>
      <c r="J24" s="3" t="s">
        <v>7</v>
      </c>
      <c r="K24">
        <v>0.69685895231355643</v>
      </c>
      <c r="L24" t="str">
        <f t="shared" si="0"/>
        <v>.69</v>
      </c>
    </row>
    <row r="25" spans="1:12" x14ac:dyDescent="0.2">
      <c r="A25" s="2">
        <v>40284</v>
      </c>
      <c r="B25" s="2" t="s">
        <v>60</v>
      </c>
      <c r="C25" s="2" t="s">
        <v>67</v>
      </c>
      <c r="E25" s="4" t="s">
        <v>31</v>
      </c>
      <c r="G25" s="4">
        <v>349</v>
      </c>
      <c r="H25" s="5">
        <v>2</v>
      </c>
      <c r="I25" s="4">
        <v>698</v>
      </c>
      <c r="J25" s="3" t="s">
        <v>9</v>
      </c>
      <c r="K25">
        <v>0.11313141869268339</v>
      </c>
      <c r="L25" t="str">
        <f t="shared" si="0"/>
        <v>.11</v>
      </c>
    </row>
    <row r="26" spans="1:12" x14ac:dyDescent="0.2">
      <c r="A26" s="2">
        <v>40287</v>
      </c>
      <c r="B26" s="2" t="s">
        <v>50</v>
      </c>
      <c r="C26" s="2" t="s">
        <v>65</v>
      </c>
      <c r="E26" s="4" t="s">
        <v>32</v>
      </c>
      <c r="G26" s="4">
        <v>349</v>
      </c>
      <c r="H26" s="5">
        <v>1</v>
      </c>
      <c r="I26" s="4">
        <v>349</v>
      </c>
      <c r="J26" s="3" t="s">
        <v>9</v>
      </c>
      <c r="K26">
        <v>0.93299621628752505</v>
      </c>
      <c r="L26" t="str">
        <f t="shared" si="0"/>
        <v>.93</v>
      </c>
    </row>
    <row r="27" spans="1:12" x14ac:dyDescent="0.2">
      <c r="A27" s="2">
        <v>40332</v>
      </c>
      <c r="B27" s="2" t="s">
        <v>61</v>
      </c>
      <c r="C27" s="2" t="s">
        <v>66</v>
      </c>
      <c r="E27" s="4" t="s">
        <v>33</v>
      </c>
      <c r="G27" s="4">
        <v>295</v>
      </c>
      <c r="H27" s="5">
        <v>1</v>
      </c>
      <c r="I27" s="4">
        <v>295</v>
      </c>
      <c r="J27" s="3" t="s">
        <v>9</v>
      </c>
      <c r="K27">
        <v>0.80641033174817633</v>
      </c>
      <c r="L27" t="str">
        <f t="shared" si="0"/>
        <v>.80</v>
      </c>
    </row>
    <row r="28" spans="1:12" x14ac:dyDescent="0.2">
      <c r="A28" s="2">
        <v>40334</v>
      </c>
      <c r="B28" s="2" t="s">
        <v>62</v>
      </c>
      <c r="C28" s="2" t="s">
        <v>67</v>
      </c>
      <c r="E28" s="4" t="s">
        <v>34</v>
      </c>
      <c r="G28" s="4">
        <v>295</v>
      </c>
      <c r="H28" s="5">
        <v>2</v>
      </c>
      <c r="I28" s="4">
        <v>590</v>
      </c>
      <c r="J28" s="3" t="s">
        <v>7</v>
      </c>
      <c r="K28">
        <v>0.9457774550278425</v>
      </c>
      <c r="L28" t="str">
        <f t="shared" si="0"/>
        <v>.94</v>
      </c>
    </row>
    <row r="29" spans="1:12" x14ac:dyDescent="0.2">
      <c r="A29" s="2">
        <v>40341</v>
      </c>
      <c r="B29" s="2" t="s">
        <v>53</v>
      </c>
      <c r="C29" s="2" t="s">
        <v>74</v>
      </c>
      <c r="E29" s="4" t="s">
        <v>35</v>
      </c>
      <c r="G29" s="4">
        <v>149</v>
      </c>
      <c r="H29" s="5">
        <v>2</v>
      </c>
      <c r="I29" s="4">
        <v>298</v>
      </c>
      <c r="J29" s="3" t="s">
        <v>9</v>
      </c>
      <c r="K29">
        <v>0.1858996302218674</v>
      </c>
      <c r="L29" t="str">
        <f t="shared" si="0"/>
        <v>.18</v>
      </c>
    </row>
    <row r="30" spans="1:12" x14ac:dyDescent="0.2">
      <c r="A30" s="2">
        <v>40351</v>
      </c>
      <c r="B30" s="2" t="s">
        <v>63</v>
      </c>
      <c r="C30" s="2" t="s">
        <v>75</v>
      </c>
      <c r="E30" s="4" t="s">
        <v>36</v>
      </c>
      <c r="G30" s="4">
        <v>299</v>
      </c>
      <c r="H30" s="5">
        <v>2</v>
      </c>
      <c r="I30" s="4">
        <v>598</v>
      </c>
      <c r="J30" s="3" t="s">
        <v>9</v>
      </c>
      <c r="K30">
        <v>0.36986585867746369</v>
      </c>
      <c r="L30" t="str">
        <f t="shared" si="0"/>
        <v>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hp</cp:lastModifiedBy>
  <dcterms:created xsi:type="dcterms:W3CDTF">2023-06-19T17:46:57Z</dcterms:created>
  <dcterms:modified xsi:type="dcterms:W3CDTF">2025-10-28T00:27:03Z</dcterms:modified>
</cp:coreProperties>
</file>