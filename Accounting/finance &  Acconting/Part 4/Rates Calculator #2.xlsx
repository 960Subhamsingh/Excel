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4\"/>
    </mc:Choice>
  </mc:AlternateContent>
  <bookViews>
    <workbookView xWindow="-28920" yWindow="-120" windowWidth="29040" windowHeight="16440"/>
  </bookViews>
  <sheets>
    <sheet name="Rates Calculator #2" sheetId="1" r:id="rId1"/>
  </sheets>
  <calcPr calcId="152511"/>
</workbook>
</file>

<file path=xl/calcChain.xml><?xml version="1.0" encoding="utf-8"?>
<calcChain xmlns="http://schemas.openxmlformats.org/spreadsheetml/2006/main">
  <c r="I3" i="1" l="1"/>
  <c r="I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" i="1"/>
</calcChain>
</file>

<file path=xl/sharedStrings.xml><?xml version="1.0" encoding="utf-8"?>
<sst xmlns="http://schemas.openxmlformats.org/spreadsheetml/2006/main" count="7" uniqueCount="7">
  <si>
    <t>Date</t>
  </si>
  <si>
    <t>Adj Close</t>
  </si>
  <si>
    <t>HPR</t>
  </si>
  <si>
    <t>Summary</t>
  </si>
  <si>
    <t>Average Mean Return</t>
  </si>
  <si>
    <t>Geometric Mean Return</t>
  </si>
  <si>
    <t>HRR = Ending Value- Beginning Value/Beginning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</si>
</sst>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2" workbookViewId="0">
      <selection activeCell="J6" sqref="J6"/>
    </sheetView>
  </sheetViews>
  <sheetFormatPr defaultRowHeight="15" x14ac:dyDescent="0.25"/>
  <cols>
    <col min="1" max="1" width="9.7109375" bestFit="1" customWidth="1"/>
    <col min="9" max="9" width="2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F1" t="s">
        <v>3</v>
      </c>
    </row>
    <row r="2" spans="1:9" x14ac:dyDescent="0.25">
      <c r="A2" s="1">
        <v>44166</v>
      </c>
      <c r="B2">
        <v>181.179993</v>
      </c>
      <c r="F2" t="s">
        <v>4</v>
      </c>
      <c r="I2" s="2">
        <f>AVERAGE(C3:C37)</f>
        <v>-1.4168495355560261E-2</v>
      </c>
    </row>
    <row r="3" spans="1:9" x14ac:dyDescent="0.25">
      <c r="A3" s="1">
        <v>44197</v>
      </c>
      <c r="B3">
        <v>168.16999799999999</v>
      </c>
      <c r="C3" s="2">
        <f>(B3-B2)/B2</f>
        <v>-7.1807017897390052E-2</v>
      </c>
      <c r="F3" t="s">
        <v>5</v>
      </c>
      <c r="I3" s="2">
        <f>GEOMEAN(C3:C37+1)-1</f>
        <v>-7.180701789739008E-2</v>
      </c>
    </row>
    <row r="4" spans="1:9" x14ac:dyDescent="0.25">
      <c r="A4" s="1">
        <v>44228</v>
      </c>
      <c r="B4">
        <v>189.03999300000001</v>
      </c>
      <c r="C4" s="2">
        <f t="shared" ref="C4:C37" si="0">(B4-B3)/B3</f>
        <v>0.12410058421954681</v>
      </c>
    </row>
    <row r="5" spans="1:9" x14ac:dyDescent="0.25">
      <c r="A5" s="1">
        <v>44256</v>
      </c>
      <c r="B5">
        <v>184.520004</v>
      </c>
      <c r="C5" s="2">
        <f t="shared" si="0"/>
        <v>-2.3910226234509061E-2</v>
      </c>
      <c r="I5" t="s">
        <v>6</v>
      </c>
    </row>
    <row r="6" spans="1:9" x14ac:dyDescent="0.25">
      <c r="A6" s="1">
        <v>44287</v>
      </c>
      <c r="B6">
        <v>186.020004</v>
      </c>
      <c r="C6" s="2">
        <f t="shared" si="0"/>
        <v>8.1291999104877548E-3</v>
      </c>
    </row>
    <row r="7" spans="1:9" x14ac:dyDescent="0.25">
      <c r="A7" s="1">
        <v>44317</v>
      </c>
      <c r="B7">
        <v>178.64999399999999</v>
      </c>
      <c r="C7" s="2">
        <f t="shared" si="0"/>
        <v>-3.9619448669617315E-2</v>
      </c>
    </row>
    <row r="8" spans="1:9" x14ac:dyDescent="0.25">
      <c r="A8" s="1">
        <v>44348</v>
      </c>
      <c r="B8">
        <v>175.770004</v>
      </c>
      <c r="C8" s="2">
        <f t="shared" si="0"/>
        <v>-1.6120851367059059E-2</v>
      </c>
    </row>
    <row r="9" spans="1:9" x14ac:dyDescent="0.25">
      <c r="A9" s="1">
        <v>44378</v>
      </c>
      <c r="B9">
        <v>176.020004</v>
      </c>
      <c r="C9" s="2">
        <f t="shared" si="0"/>
        <v>1.4223132179026405E-3</v>
      </c>
    </row>
    <row r="10" spans="1:9" x14ac:dyDescent="0.25">
      <c r="A10" s="1">
        <v>44409</v>
      </c>
      <c r="B10">
        <v>181.300003</v>
      </c>
      <c r="C10" s="2">
        <f t="shared" si="0"/>
        <v>2.9996584933607909E-2</v>
      </c>
    </row>
    <row r="11" spans="1:9" x14ac:dyDescent="0.25">
      <c r="A11" s="1">
        <v>44440</v>
      </c>
      <c r="B11">
        <v>169.16999799999999</v>
      </c>
      <c r="C11" s="2">
        <f t="shared" si="0"/>
        <v>-6.6905707662895136E-2</v>
      </c>
    </row>
    <row r="12" spans="1:9" x14ac:dyDescent="0.25">
      <c r="A12" s="1">
        <v>44470</v>
      </c>
      <c r="B12">
        <v>169.070007</v>
      </c>
      <c r="C12" s="2">
        <f t="shared" si="0"/>
        <v>-5.9106816328027985E-4</v>
      </c>
    </row>
    <row r="13" spans="1:9" x14ac:dyDescent="0.25">
      <c r="A13" s="1">
        <v>44501</v>
      </c>
      <c r="B13">
        <v>144.89999399999999</v>
      </c>
      <c r="C13" s="2">
        <f t="shared" si="0"/>
        <v>-0.14295860885603448</v>
      </c>
    </row>
    <row r="14" spans="1:9" x14ac:dyDescent="0.25">
      <c r="A14" s="1">
        <v>44531</v>
      </c>
      <c r="B14">
        <v>154.88999899999999</v>
      </c>
      <c r="C14" s="2">
        <f t="shared" si="0"/>
        <v>6.8944136740267892E-2</v>
      </c>
    </row>
    <row r="15" spans="1:9" x14ac:dyDescent="0.25">
      <c r="A15" s="1">
        <v>44562</v>
      </c>
      <c r="B15">
        <v>142.970001</v>
      </c>
      <c r="C15" s="2">
        <f t="shared" si="0"/>
        <v>-7.6957828632951267E-2</v>
      </c>
    </row>
    <row r="16" spans="1:9" x14ac:dyDescent="0.25">
      <c r="A16" s="1">
        <v>44593</v>
      </c>
      <c r="B16">
        <v>148.46000699999999</v>
      </c>
      <c r="C16" s="2">
        <f t="shared" si="0"/>
        <v>3.8399705963490856E-2</v>
      </c>
    </row>
    <row r="17" spans="1:3" x14ac:dyDescent="0.25">
      <c r="A17" s="1">
        <v>44621</v>
      </c>
      <c r="B17">
        <v>137.16000399999999</v>
      </c>
      <c r="C17" s="2">
        <f t="shared" si="0"/>
        <v>-7.6114795010079742E-2</v>
      </c>
    </row>
    <row r="18" spans="1:3" x14ac:dyDescent="0.25">
      <c r="A18" s="1">
        <v>44652</v>
      </c>
      <c r="B18">
        <v>111.629997</v>
      </c>
      <c r="C18" s="2">
        <f t="shared" si="0"/>
        <v>-0.18613302898416353</v>
      </c>
    </row>
    <row r="19" spans="1:3" x14ac:dyDescent="0.25">
      <c r="A19" s="1">
        <v>44682</v>
      </c>
      <c r="B19">
        <v>110.44000200000001</v>
      </c>
      <c r="C19" s="2">
        <f t="shared" si="0"/>
        <v>-1.0660172283261785E-2</v>
      </c>
    </row>
    <row r="20" spans="1:3" x14ac:dyDescent="0.25">
      <c r="A20" s="1">
        <v>44713</v>
      </c>
      <c r="B20">
        <v>94.400002000000001</v>
      </c>
      <c r="C20" s="2">
        <f t="shared" si="0"/>
        <v>-0.14523723025647903</v>
      </c>
    </row>
    <row r="21" spans="1:3" x14ac:dyDescent="0.25">
      <c r="A21" s="1">
        <v>44743</v>
      </c>
      <c r="B21">
        <v>106.099998</v>
      </c>
      <c r="C21" s="2">
        <f t="shared" si="0"/>
        <v>0.12394063296735945</v>
      </c>
    </row>
    <row r="22" spans="1:3" x14ac:dyDescent="0.25">
      <c r="A22" s="1">
        <v>44774</v>
      </c>
      <c r="B22">
        <v>112.08000199999999</v>
      </c>
      <c r="C22" s="2">
        <f t="shared" si="0"/>
        <v>5.6361961477133994E-2</v>
      </c>
    </row>
    <row r="23" spans="1:3" x14ac:dyDescent="0.25">
      <c r="A23" s="1">
        <v>44805</v>
      </c>
      <c r="B23">
        <v>94.330001999999993</v>
      </c>
      <c r="C23" s="2">
        <f t="shared" si="0"/>
        <v>-0.15836901930105249</v>
      </c>
    </row>
    <row r="24" spans="1:3" x14ac:dyDescent="0.25">
      <c r="A24" s="1">
        <v>44835</v>
      </c>
      <c r="B24">
        <v>106.540001</v>
      </c>
      <c r="C24" s="2">
        <f t="shared" si="0"/>
        <v>0.12943918945321353</v>
      </c>
    </row>
    <row r="25" spans="1:3" x14ac:dyDescent="0.25">
      <c r="A25" s="1">
        <v>44866</v>
      </c>
      <c r="B25">
        <v>97.870002999999997</v>
      </c>
      <c r="C25" s="2">
        <f t="shared" si="0"/>
        <v>-8.1377866703793308E-2</v>
      </c>
    </row>
    <row r="26" spans="1:3" x14ac:dyDescent="0.25">
      <c r="A26" s="1">
        <v>44896</v>
      </c>
      <c r="B26">
        <v>86.879997000000003</v>
      </c>
      <c r="C26" s="2">
        <f t="shared" si="0"/>
        <v>-0.1122918735375945</v>
      </c>
    </row>
    <row r="27" spans="1:3" x14ac:dyDescent="0.25">
      <c r="A27" s="1">
        <v>44927</v>
      </c>
      <c r="B27">
        <v>108.489998</v>
      </c>
      <c r="C27" s="2">
        <f t="shared" si="0"/>
        <v>0.24873390591852801</v>
      </c>
    </row>
    <row r="28" spans="1:3" x14ac:dyDescent="0.25">
      <c r="A28" s="1">
        <v>44958</v>
      </c>
      <c r="B28">
        <v>99.610000999999997</v>
      </c>
      <c r="C28" s="2">
        <f t="shared" si="0"/>
        <v>-8.1850835687175535E-2</v>
      </c>
    </row>
    <row r="29" spans="1:3" x14ac:dyDescent="0.25">
      <c r="A29" s="1">
        <v>44986</v>
      </c>
      <c r="B29">
        <v>100.129997</v>
      </c>
      <c r="C29" s="2">
        <f t="shared" si="0"/>
        <v>5.220319192648197E-3</v>
      </c>
    </row>
    <row r="30" spans="1:3" x14ac:dyDescent="0.25">
      <c r="A30" s="1">
        <v>45017</v>
      </c>
      <c r="B30">
        <v>102.5</v>
      </c>
      <c r="C30" s="2">
        <f t="shared" si="0"/>
        <v>2.3669260671205221E-2</v>
      </c>
    </row>
    <row r="31" spans="1:3" x14ac:dyDescent="0.25">
      <c r="A31" s="1">
        <v>45047</v>
      </c>
      <c r="B31">
        <v>87.959998999999996</v>
      </c>
      <c r="C31" s="2">
        <f t="shared" si="0"/>
        <v>-0.14185366829268295</v>
      </c>
    </row>
    <row r="32" spans="1:3" x14ac:dyDescent="0.25">
      <c r="A32" s="1">
        <v>45078</v>
      </c>
      <c r="B32">
        <v>89.279999000000004</v>
      </c>
      <c r="C32" s="2">
        <f t="shared" si="0"/>
        <v>1.5006821453010789E-2</v>
      </c>
    </row>
    <row r="33" spans="1:3" x14ac:dyDescent="0.25">
      <c r="A33" s="1">
        <v>45108</v>
      </c>
      <c r="B33">
        <v>88.889999000000003</v>
      </c>
      <c r="C33" s="2">
        <f t="shared" si="0"/>
        <v>-4.3682796188203423E-3</v>
      </c>
    </row>
    <row r="34" spans="1:3" x14ac:dyDescent="0.25">
      <c r="A34" s="1">
        <v>45139</v>
      </c>
      <c r="B34">
        <v>83.68</v>
      </c>
      <c r="C34" s="2">
        <f t="shared" si="0"/>
        <v>-5.8611756762422688E-2</v>
      </c>
    </row>
    <row r="35" spans="1:3" x14ac:dyDescent="0.25">
      <c r="A35" s="1">
        <v>45170</v>
      </c>
      <c r="B35">
        <v>81.050003000000004</v>
      </c>
      <c r="C35" s="2">
        <f t="shared" si="0"/>
        <v>-3.1429218451242864E-2</v>
      </c>
    </row>
    <row r="36" spans="1:3" x14ac:dyDescent="0.25">
      <c r="A36" s="1">
        <v>45200</v>
      </c>
      <c r="B36">
        <v>81.589995999999999</v>
      </c>
      <c r="C36" s="2">
        <f t="shared" si="0"/>
        <v>6.6624673659789434E-3</v>
      </c>
    </row>
    <row r="37" spans="1:3" x14ac:dyDescent="0.25">
      <c r="A37" s="1">
        <v>45231</v>
      </c>
      <c r="B37">
        <v>93.93</v>
      </c>
      <c r="C37" s="2">
        <f t="shared" si="0"/>
        <v>0.15124408144351431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 Calculator #2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dcterms:created xsi:type="dcterms:W3CDTF">2023-11-17T16:10:00Z</dcterms:created>
  <dcterms:modified xsi:type="dcterms:W3CDTF">2025-10-28T22:58:34Z</dcterms:modified>
</cp:coreProperties>
</file>