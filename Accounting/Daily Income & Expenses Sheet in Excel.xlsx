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tendra Kumar\Downloads\"/>
    </mc:Choice>
  </mc:AlternateContent>
  <xr:revisionPtr revIDLastSave="0" documentId="13_ncr:1_{1FE15E34-F193-4E64-9D62-D1E63CC7A0A3}" xr6:coauthVersionLast="47" xr6:coauthVersionMax="47" xr10:uidLastSave="{00000000-0000-0000-0000-000000000000}"/>
  <bookViews>
    <workbookView xWindow="-110" yWindow="-110" windowWidth="19420" windowHeight="10420" xr2:uid="{469AB534-D9D7-4043-B4AF-1DF3BE84E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F35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16" i="1"/>
  <c r="B17" i="1"/>
  <c r="B15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E4" i="1"/>
  <c r="B7" i="1"/>
  <c r="B8" i="1"/>
  <c r="B9" i="1"/>
  <c r="B10" i="1"/>
  <c r="B11" i="1"/>
  <c r="B12" i="1"/>
  <c r="B13" i="1"/>
  <c r="B14" i="1"/>
  <c r="B6" i="1"/>
  <c r="H35" i="1" l="1"/>
  <c r="H3" i="1" s="1"/>
</calcChain>
</file>

<file path=xl/sharedStrings.xml><?xml version="1.0" encoding="utf-8"?>
<sst xmlns="http://schemas.openxmlformats.org/spreadsheetml/2006/main" count="35" uniqueCount="24">
  <si>
    <t>S. No</t>
  </si>
  <si>
    <t>Date</t>
  </si>
  <si>
    <t>Out</t>
  </si>
  <si>
    <t>Balance</t>
  </si>
  <si>
    <t>Opening Balance</t>
  </si>
  <si>
    <t>Expense Details</t>
  </si>
  <si>
    <t>Month</t>
  </si>
  <si>
    <t>Stationary</t>
  </si>
  <si>
    <t>Income</t>
  </si>
  <si>
    <t>Type</t>
  </si>
  <si>
    <t>Particulars</t>
  </si>
  <si>
    <t>Expense</t>
  </si>
  <si>
    <t>Cash Received</t>
  </si>
  <si>
    <t>Tea Expenses</t>
  </si>
  <si>
    <t>Office Rent</t>
  </si>
  <si>
    <t>Client Payment</t>
  </si>
  <si>
    <t>Travel Expense</t>
  </si>
  <si>
    <t>Internet Bill</t>
  </si>
  <si>
    <t>Pan Drive Purchase</t>
  </si>
  <si>
    <t>Consultancy Income</t>
  </si>
  <si>
    <t>Current Balance</t>
  </si>
  <si>
    <t>Daily Income &amp; Expenses Sheet</t>
  </si>
  <si>
    <t>Total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</si>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</sst>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[$₹-4009]\ * #,##0.00_ ;_ [$₹-4009]\ * \-#,##0.00_ ;_ [$₹-4009]\ * &quot;-&quot;??_ ;_ @_ "/>
    <numFmt numFmtId="166" formatCode="_ [$₹-4009]\ * #,##0_ ;_ [$₹-4009]\ * \-#,##0_ ;_ [$₹-4009]\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24"/>
      <color rgb="FF002060"/>
      <name val="Aptos Narrow"/>
      <family val="2"/>
      <scheme val="minor"/>
    </font>
    <font>
      <b/>
      <sz val="24"/>
      <color rgb="FF002060"/>
      <name val="Roboto Condensed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indexed="64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rgb="FF002060"/>
      </right>
      <top/>
      <bottom style="thin">
        <color indexed="64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ck">
        <color rgb="FF002060"/>
      </left>
      <right/>
      <top style="thick">
        <color rgb="FF002060"/>
      </top>
      <bottom style="thin">
        <color rgb="FF002060"/>
      </bottom>
      <diagonal/>
    </border>
    <border>
      <left/>
      <right/>
      <top style="thick">
        <color rgb="FF002060"/>
      </top>
      <bottom style="thin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indexed="64"/>
      </right>
      <top/>
      <bottom style="thin">
        <color indexed="64"/>
      </bottom>
      <diagonal/>
    </border>
    <border>
      <left style="thin">
        <color rgb="FF002060"/>
      </left>
      <right style="thick">
        <color rgb="FF002060"/>
      </right>
      <top/>
      <bottom style="thin">
        <color rgb="FF002060"/>
      </bottom>
      <diagonal/>
    </border>
    <border>
      <left style="thick">
        <color rgb="FF002060"/>
      </left>
      <right style="thin">
        <color indexed="64"/>
      </right>
      <top style="thin">
        <color indexed="64"/>
      </top>
      <bottom style="thin">
        <color rgb="FF002060"/>
      </bottom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ck">
        <color rgb="FF002060"/>
      </right>
      <top/>
      <bottom style="thin">
        <color indexed="64"/>
      </bottom>
      <diagonal/>
    </border>
    <border>
      <left style="thick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ck">
        <color rgb="FF002060"/>
      </right>
      <top/>
      <bottom/>
      <diagonal/>
    </border>
    <border>
      <left style="thick">
        <color rgb="FF002060"/>
      </left>
      <right/>
      <top style="thin">
        <color indexed="64"/>
      </top>
      <bottom style="thick">
        <color rgb="FF002060"/>
      </bottom>
      <diagonal/>
    </border>
    <border>
      <left/>
      <right/>
      <top style="thin">
        <color indexed="64"/>
      </top>
      <bottom style="thick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ck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164" fontId="0" fillId="2" borderId="2" xfId="1" applyNumberFormat="1" applyFont="1" applyFill="1" applyBorder="1"/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164" fontId="0" fillId="2" borderId="21" xfId="1" applyNumberFormat="1" applyFont="1" applyFill="1" applyBorder="1"/>
    <xf numFmtId="166" fontId="3" fillId="2" borderId="16" xfId="1" applyNumberFormat="1" applyFont="1" applyFill="1" applyBorder="1"/>
    <xf numFmtId="166" fontId="2" fillId="2" borderId="18" xfId="1" applyNumberFormat="1" applyFont="1" applyFill="1" applyBorder="1"/>
    <xf numFmtId="165" fontId="3" fillId="3" borderId="4" xfId="0" applyNumberFormat="1" applyFont="1" applyFill="1" applyBorder="1" applyAlignment="1">
      <alignment horizontal="center" vertical="center" wrapText="1"/>
    </xf>
    <xf numFmtId="164" fontId="0" fillId="4" borderId="24" xfId="1" applyNumberFormat="1" applyFont="1" applyFill="1" applyBorder="1"/>
    <xf numFmtId="164" fontId="0" fillId="4" borderId="25" xfId="1" applyNumberFormat="1" applyFont="1" applyFill="1" applyBorder="1"/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EBA3-E998-433C-B0EB-0AE579E907F4}">
  <sheetPr>
    <pageSetUpPr autoPageBreaks="0"/>
  </sheetPr>
  <dimension ref="B1:H36"/>
  <sheetViews>
    <sheetView showGridLines="0" tabSelected="1" topLeftCell="A17" workbookViewId="0">
      <selection activeCell="J30" sqref="J30"/>
    </sheetView>
  </sheetViews>
  <sheetFormatPr defaultRowHeight="14.5" x14ac:dyDescent="0.35"/>
  <cols>
    <col min="1" max="1" width="1.6328125" customWidth="1"/>
    <col min="2" max="2" width="8.7265625" style="1"/>
    <col min="3" max="3" width="15.81640625" style="1" customWidth="1"/>
    <col min="4" max="4" width="26.453125" customWidth="1"/>
    <col min="5" max="5" width="20.54296875" style="1" customWidth="1"/>
    <col min="6" max="8" width="13.6328125" customWidth="1"/>
  </cols>
  <sheetData>
    <row r="1" spans="2:8" ht="3.5" customHeight="1" thickBot="1" x14ac:dyDescent="0.4"/>
    <row r="2" spans="2:8" ht="31" customHeight="1" thickTop="1" x14ac:dyDescent="0.65">
      <c r="B2" s="18" t="s">
        <v>21</v>
      </c>
      <c r="C2" s="19"/>
      <c r="D2" s="19"/>
      <c r="E2" s="19"/>
      <c r="F2" s="19"/>
      <c r="G2" s="19"/>
      <c r="H2" s="20"/>
    </row>
    <row r="3" spans="2:8" x14ac:dyDescent="0.35">
      <c r="B3" s="25" t="s">
        <v>5</v>
      </c>
      <c r="C3" s="26"/>
      <c r="D3" s="27"/>
      <c r="E3" s="8" t="s">
        <v>6</v>
      </c>
      <c r="F3" s="31" t="s">
        <v>20</v>
      </c>
      <c r="G3" s="32"/>
      <c r="H3" s="13">
        <f ca="1">OFFSET(H5,COUNTA(H6:H35),0)</f>
        <v>16700</v>
      </c>
    </row>
    <row r="4" spans="2:8" x14ac:dyDescent="0.35">
      <c r="B4" s="28"/>
      <c r="C4" s="29"/>
      <c r="D4" s="30"/>
      <c r="E4" s="7" t="str">
        <f>TEXT(C6,"MMM YYY")</f>
        <v>Nov 2025</v>
      </c>
      <c r="F4" s="23" t="s">
        <v>4</v>
      </c>
      <c r="G4" s="24"/>
      <c r="H4" s="14">
        <v>20000</v>
      </c>
    </row>
    <row r="5" spans="2:8" ht="29.5" customHeight="1" x14ac:dyDescent="0.35">
      <c r="B5" s="9" t="s">
        <v>0</v>
      </c>
      <c r="C5" s="6" t="s">
        <v>1</v>
      </c>
      <c r="D5" s="6" t="s">
        <v>10</v>
      </c>
      <c r="E5" s="6" t="s">
        <v>9</v>
      </c>
      <c r="F5" s="15" t="s">
        <v>23</v>
      </c>
      <c r="G5" s="6" t="s">
        <v>2</v>
      </c>
      <c r="H5" s="10" t="s">
        <v>3</v>
      </c>
    </row>
    <row r="6" spans="2:8" x14ac:dyDescent="0.35">
      <c r="B6" s="11">
        <f>IF(C6="","",COUNTA($C$6:C6))</f>
        <v>1</v>
      </c>
      <c r="C6" s="3">
        <v>45962</v>
      </c>
      <c r="D6" s="4" t="s">
        <v>7</v>
      </c>
      <c r="E6" s="2" t="s">
        <v>11</v>
      </c>
      <c r="F6" s="5"/>
      <c r="G6" s="5">
        <v>500</v>
      </c>
      <c r="H6" s="12">
        <f>H4+F6-G6</f>
        <v>19500</v>
      </c>
    </row>
    <row r="7" spans="2:8" x14ac:dyDescent="0.35">
      <c r="B7" s="11">
        <f>IF(C7="","",COUNTA($C$6:C7))</f>
        <v>2</v>
      </c>
      <c r="C7" s="3">
        <v>45963</v>
      </c>
      <c r="D7" s="4" t="s">
        <v>12</v>
      </c>
      <c r="E7" s="2" t="s">
        <v>8</v>
      </c>
      <c r="F7" s="5">
        <v>1000</v>
      </c>
      <c r="G7" s="5"/>
      <c r="H7" s="12">
        <f>H6+F7-G7</f>
        <v>20500</v>
      </c>
    </row>
    <row r="8" spans="2:8" x14ac:dyDescent="0.35">
      <c r="B8" s="11">
        <f>IF(C8="","",COUNTA($C$6:C8))</f>
        <v>3</v>
      </c>
      <c r="C8" s="3">
        <v>45964</v>
      </c>
      <c r="D8" s="4" t="s">
        <v>13</v>
      </c>
      <c r="E8" s="2" t="s">
        <v>11</v>
      </c>
      <c r="F8" s="5"/>
      <c r="G8" s="5">
        <v>100</v>
      </c>
      <c r="H8" s="12">
        <f t="shared" ref="H8:H34" si="0">H7+F8-G8</f>
        <v>20400</v>
      </c>
    </row>
    <row r="9" spans="2:8" x14ac:dyDescent="0.35">
      <c r="B9" s="11">
        <f>IF(C9="","",COUNTA($C$6:C9))</f>
        <v>4</v>
      </c>
      <c r="C9" s="3">
        <v>45964</v>
      </c>
      <c r="D9" s="4" t="s">
        <v>14</v>
      </c>
      <c r="E9" s="2" t="s">
        <v>11</v>
      </c>
      <c r="F9" s="5"/>
      <c r="G9" s="5">
        <v>5000</v>
      </c>
      <c r="H9" s="12">
        <f t="shared" si="0"/>
        <v>15400</v>
      </c>
    </row>
    <row r="10" spans="2:8" x14ac:dyDescent="0.35">
      <c r="B10" s="11">
        <f>IF(C10="","",COUNTA($C$6:C10))</f>
        <v>5</v>
      </c>
      <c r="C10" s="3">
        <v>45966</v>
      </c>
      <c r="D10" s="4" t="s">
        <v>15</v>
      </c>
      <c r="E10" s="2" t="s">
        <v>8</v>
      </c>
      <c r="F10" s="5">
        <v>1500</v>
      </c>
      <c r="G10" s="5"/>
      <c r="H10" s="12">
        <f t="shared" si="0"/>
        <v>16900</v>
      </c>
    </row>
    <row r="11" spans="2:8" x14ac:dyDescent="0.35">
      <c r="B11" s="11">
        <f>IF(C11="","",COUNTA($C$6:C11))</f>
        <v>6</v>
      </c>
      <c r="C11" s="3">
        <v>45967</v>
      </c>
      <c r="D11" s="4" t="s">
        <v>16</v>
      </c>
      <c r="E11" s="2" t="s">
        <v>11</v>
      </c>
      <c r="F11" s="5"/>
      <c r="G11" s="5">
        <v>2000</v>
      </c>
      <c r="H11" s="12">
        <f t="shared" si="0"/>
        <v>14900</v>
      </c>
    </row>
    <row r="12" spans="2:8" x14ac:dyDescent="0.35">
      <c r="B12" s="11">
        <f>IF(C12="","",COUNTA($C$6:C12))</f>
        <v>7</v>
      </c>
      <c r="C12" s="3">
        <v>45968</v>
      </c>
      <c r="D12" s="4" t="s">
        <v>17</v>
      </c>
      <c r="E12" s="2" t="s">
        <v>11</v>
      </c>
      <c r="F12" s="5"/>
      <c r="G12" s="5">
        <v>200</v>
      </c>
      <c r="H12" s="12">
        <f t="shared" si="0"/>
        <v>14700</v>
      </c>
    </row>
    <row r="13" spans="2:8" x14ac:dyDescent="0.35">
      <c r="B13" s="11">
        <f>IF(C13="","",COUNTA($C$6:C13))</f>
        <v>8</v>
      </c>
      <c r="C13" s="3">
        <v>45968</v>
      </c>
      <c r="D13" s="4" t="s">
        <v>12</v>
      </c>
      <c r="E13" s="2" t="s">
        <v>8</v>
      </c>
      <c r="F13" s="5">
        <v>900</v>
      </c>
      <c r="G13" s="5"/>
      <c r="H13" s="12">
        <f t="shared" si="0"/>
        <v>15600</v>
      </c>
    </row>
    <row r="14" spans="2:8" x14ac:dyDescent="0.35">
      <c r="B14" s="11">
        <f>IF(C14="","",COUNTA($C$6:C14))</f>
        <v>9</v>
      </c>
      <c r="C14" s="3">
        <v>45969</v>
      </c>
      <c r="D14" s="4" t="s">
        <v>18</v>
      </c>
      <c r="E14" s="2" t="s">
        <v>11</v>
      </c>
      <c r="F14" s="5"/>
      <c r="G14" s="5">
        <v>300</v>
      </c>
      <c r="H14" s="12">
        <f t="shared" si="0"/>
        <v>15300</v>
      </c>
    </row>
    <row r="15" spans="2:8" x14ac:dyDescent="0.35">
      <c r="B15" s="11">
        <f>IF(C15="","",COUNTA($C$6:C15))</f>
        <v>10</v>
      </c>
      <c r="C15" s="3">
        <v>45970</v>
      </c>
      <c r="D15" s="4" t="s">
        <v>19</v>
      </c>
      <c r="E15" s="2" t="s">
        <v>8</v>
      </c>
      <c r="F15" s="5">
        <v>1200</v>
      </c>
      <c r="G15" s="5"/>
      <c r="H15" s="12">
        <f t="shared" si="0"/>
        <v>16500</v>
      </c>
    </row>
    <row r="16" spans="2:8" x14ac:dyDescent="0.35">
      <c r="B16" s="11">
        <f>IF(C16="","",COUNTA($C$6:C16))</f>
        <v>11</v>
      </c>
      <c r="C16" s="3">
        <v>45970</v>
      </c>
      <c r="D16" s="4" t="s">
        <v>12</v>
      </c>
      <c r="E16" s="2" t="s">
        <v>8</v>
      </c>
      <c r="F16" s="5">
        <v>200</v>
      </c>
      <c r="G16" s="5"/>
      <c r="H16" s="12">
        <f t="shared" si="0"/>
        <v>16700</v>
      </c>
    </row>
    <row r="17" spans="2:8" x14ac:dyDescent="0.35">
      <c r="B17" s="11" t="str">
        <f>IF(C17="","",COUNTA($C$6:C17))</f>
        <v/>
      </c>
      <c r="C17" s="2"/>
      <c r="D17" s="4"/>
      <c r="E17" s="2"/>
      <c r="F17" s="5"/>
      <c r="G17" s="5"/>
      <c r="H17" s="12">
        <f t="shared" si="0"/>
        <v>16700</v>
      </c>
    </row>
    <row r="18" spans="2:8" x14ac:dyDescent="0.35">
      <c r="B18" s="11" t="str">
        <f>IF(C18="","",COUNTA($C$6:C18))</f>
        <v/>
      </c>
      <c r="C18" s="2"/>
      <c r="D18" s="4"/>
      <c r="E18" s="2"/>
      <c r="F18" s="5"/>
      <c r="G18" s="5"/>
      <c r="H18" s="12">
        <f t="shared" si="0"/>
        <v>16700</v>
      </c>
    </row>
    <row r="19" spans="2:8" x14ac:dyDescent="0.35">
      <c r="B19" s="11" t="str">
        <f>IF(C19="","",COUNTA($C$6:C19))</f>
        <v/>
      </c>
      <c r="C19" s="2"/>
      <c r="D19" s="4"/>
      <c r="E19" s="2"/>
      <c r="F19" s="5"/>
      <c r="G19" s="5"/>
      <c r="H19" s="12">
        <f t="shared" si="0"/>
        <v>16700</v>
      </c>
    </row>
    <row r="20" spans="2:8" x14ac:dyDescent="0.35">
      <c r="B20" s="11" t="str">
        <f>IF(C20="","",COUNTA($C$6:C20))</f>
        <v/>
      </c>
      <c r="C20" s="2"/>
      <c r="D20" s="4"/>
      <c r="E20" s="2"/>
      <c r="F20" s="5"/>
      <c r="G20" s="5"/>
      <c r="H20" s="12">
        <f t="shared" si="0"/>
        <v>16700</v>
      </c>
    </row>
    <row r="21" spans="2:8" x14ac:dyDescent="0.35">
      <c r="B21" s="11" t="str">
        <f>IF(C21="","",COUNTA($C$6:C21))</f>
        <v/>
      </c>
      <c r="C21" s="2"/>
      <c r="D21" s="4"/>
      <c r="E21" s="2"/>
      <c r="F21" s="5"/>
      <c r="G21" s="5"/>
      <c r="H21" s="12">
        <f t="shared" si="0"/>
        <v>16700</v>
      </c>
    </row>
    <row r="22" spans="2:8" x14ac:dyDescent="0.35">
      <c r="B22" s="11" t="str">
        <f>IF(C22="","",COUNTA($C$6:C22))</f>
        <v/>
      </c>
      <c r="C22" s="2"/>
      <c r="D22" s="4"/>
      <c r="E22" s="2"/>
      <c r="F22" s="5"/>
      <c r="G22" s="5"/>
      <c r="H22" s="12">
        <f t="shared" si="0"/>
        <v>16700</v>
      </c>
    </row>
    <row r="23" spans="2:8" x14ac:dyDescent="0.35">
      <c r="B23" s="11" t="str">
        <f>IF(C23="","",COUNTA($C$6:C23))</f>
        <v/>
      </c>
      <c r="C23" s="2"/>
      <c r="D23" s="4"/>
      <c r="E23" s="2"/>
      <c r="F23" s="5"/>
      <c r="G23" s="5"/>
      <c r="H23" s="12">
        <f t="shared" si="0"/>
        <v>16700</v>
      </c>
    </row>
    <row r="24" spans="2:8" x14ac:dyDescent="0.35">
      <c r="B24" s="11" t="str">
        <f>IF(C24="","",COUNTA($C$6:C24))</f>
        <v/>
      </c>
      <c r="C24" s="2"/>
      <c r="D24" s="4"/>
      <c r="E24" s="2"/>
      <c r="F24" s="5"/>
      <c r="G24" s="5"/>
      <c r="H24" s="12">
        <f t="shared" si="0"/>
        <v>16700</v>
      </c>
    </row>
    <row r="25" spans="2:8" x14ac:dyDescent="0.35">
      <c r="B25" s="11" t="str">
        <f>IF(C25="","",COUNTA($C$6:C25))</f>
        <v/>
      </c>
      <c r="C25" s="2"/>
      <c r="D25" s="4"/>
      <c r="E25" s="2"/>
      <c r="F25" s="5"/>
      <c r="G25" s="5"/>
      <c r="H25" s="12">
        <f t="shared" si="0"/>
        <v>16700</v>
      </c>
    </row>
    <row r="26" spans="2:8" x14ac:dyDescent="0.35">
      <c r="B26" s="11" t="str">
        <f>IF(C26="","",COUNTA($C$6:C26))</f>
        <v/>
      </c>
      <c r="C26" s="2"/>
      <c r="D26" s="4"/>
      <c r="E26" s="2"/>
      <c r="F26" s="5"/>
      <c r="G26" s="5"/>
      <c r="H26" s="12">
        <f t="shared" si="0"/>
        <v>16700</v>
      </c>
    </row>
    <row r="27" spans="2:8" x14ac:dyDescent="0.35">
      <c r="B27" s="11" t="str">
        <f>IF(C27="","",COUNTA($C$6:C27))</f>
        <v/>
      </c>
      <c r="C27" s="2"/>
      <c r="D27" s="4"/>
      <c r="E27" s="2"/>
      <c r="F27" s="5"/>
      <c r="G27" s="5"/>
      <c r="H27" s="12">
        <f t="shared" si="0"/>
        <v>16700</v>
      </c>
    </row>
    <row r="28" spans="2:8" x14ac:dyDescent="0.35">
      <c r="B28" s="11" t="str">
        <f>IF(C28="","",COUNTA($C$6:C28))</f>
        <v/>
      </c>
      <c r="C28" s="2"/>
      <c r="D28" s="4"/>
      <c r="E28" s="2"/>
      <c r="F28" s="5"/>
      <c r="G28" s="5"/>
      <c r="H28" s="12">
        <f t="shared" si="0"/>
        <v>16700</v>
      </c>
    </row>
    <row r="29" spans="2:8" x14ac:dyDescent="0.35">
      <c r="B29" s="11" t="str">
        <f>IF(C29="","",COUNTA($C$6:C29))</f>
        <v/>
      </c>
      <c r="C29" s="2"/>
      <c r="D29" s="4"/>
      <c r="E29" s="2"/>
      <c r="F29" s="5"/>
      <c r="G29" s="5"/>
      <c r="H29" s="12">
        <f t="shared" si="0"/>
        <v>16700</v>
      </c>
    </row>
    <row r="30" spans="2:8" x14ac:dyDescent="0.35">
      <c r="B30" s="11" t="str">
        <f>IF(C30="","",COUNTA($C$6:C30))</f>
        <v/>
      </c>
      <c r="C30" s="2"/>
      <c r="D30" s="4"/>
      <c r="E30" s="2"/>
      <c r="F30" s="5"/>
      <c r="G30" s="5"/>
      <c r="H30" s="12">
        <f t="shared" si="0"/>
        <v>16700</v>
      </c>
    </row>
    <row r="31" spans="2:8" x14ac:dyDescent="0.35">
      <c r="B31" s="11" t="str">
        <f>IF(C31="","",COUNTA($C$6:C31))</f>
        <v/>
      </c>
      <c r="C31" s="2"/>
      <c r="D31" s="4"/>
      <c r="E31" s="2"/>
      <c r="F31" s="5"/>
      <c r="G31" s="5"/>
      <c r="H31" s="12">
        <f t="shared" si="0"/>
        <v>16700</v>
      </c>
    </row>
    <row r="32" spans="2:8" x14ac:dyDescent="0.35">
      <c r="B32" s="11" t="str">
        <f>IF(C32="","",COUNTA($C$6:C32))</f>
        <v/>
      </c>
      <c r="C32" s="2"/>
      <c r="D32" s="4"/>
      <c r="E32" s="2"/>
      <c r="F32" s="5"/>
      <c r="G32" s="5"/>
      <c r="H32" s="12">
        <f t="shared" si="0"/>
        <v>16700</v>
      </c>
    </row>
    <row r="33" spans="2:8" x14ac:dyDescent="0.35">
      <c r="B33" s="11" t="str">
        <f>IF(C33="","",COUNTA($C$6:C33))</f>
        <v/>
      </c>
      <c r="C33" s="2"/>
      <c r="D33" s="4"/>
      <c r="E33" s="2"/>
      <c r="F33" s="5"/>
      <c r="G33" s="5"/>
      <c r="H33" s="12">
        <f t="shared" si="0"/>
        <v>16700</v>
      </c>
    </row>
    <row r="34" spans="2:8" x14ac:dyDescent="0.35">
      <c r="B34" s="11" t="str">
        <f>IF(C34="","",COUNTA($C$6:C34))</f>
        <v/>
      </c>
      <c r="C34" s="2"/>
      <c r="D34" s="4"/>
      <c r="E34" s="2"/>
      <c r="F34" s="5"/>
      <c r="G34" s="5"/>
      <c r="H34" s="12">
        <f t="shared" si="0"/>
        <v>16700</v>
      </c>
    </row>
    <row r="35" spans="2:8" ht="15" thickBot="1" x14ac:dyDescent="0.4">
      <c r="B35" s="21" t="s">
        <v>22</v>
      </c>
      <c r="C35" s="22"/>
      <c r="D35" s="22"/>
      <c r="E35" s="22"/>
      <c r="F35" s="16">
        <f>SUM(F6:F34)</f>
        <v>4800</v>
      </c>
      <c r="G35" s="16">
        <f>SUM(G6:G34)</f>
        <v>8100</v>
      </c>
      <c r="H35" s="17">
        <f>H4+F35-G35</f>
        <v>16700</v>
      </c>
    </row>
    <row r="36" spans="2:8" ht="15" thickTop="1" x14ac:dyDescent="0.35"/>
  </sheetData>
  <mergeCells count="5">
    <mergeCell ref="B2:H2"/>
    <mergeCell ref="B35:E35"/>
    <mergeCell ref="F4:G4"/>
    <mergeCell ref="B3:D4"/>
    <mergeCell ref="F3:G3"/>
  </mergeCells>
  <dataValidations count="3">
    <dataValidation type="list" allowBlank="1" showInputMessage="1" showErrorMessage="1" sqref="E6:E34" xr:uid="{BBB31E2A-583C-4AE2-9142-E038FF1611D9}">
      <formula1>"Income, Expense"</formula1>
    </dataValidation>
    <dataValidation type="custom" allowBlank="1" showInputMessage="1" showErrorMessage="1" errorTitle="Wrong Entry" error="This is not income." sqref="F6:F34" xr:uid="{26A42F86-60C7-4054-8BDE-A753760E1005}">
      <formula1>$E6="Income"</formula1>
    </dataValidation>
    <dataValidation type="custom" allowBlank="1" showInputMessage="1" showErrorMessage="1" errorTitle="Wrong Entry" error="This is not expense." sqref="G6:G34" xr:uid="{AF290C57-6E29-42C2-9EF2-248B74DC2A83}">
      <formula1>$E6="Expense"</formula1>
    </dataValidation>
  </dataValidations>
  <printOptions horizontalCentered="1"/>
  <pageMargins left="0" right="0" top="0.39370078740157483" bottom="0" header="0" footer="0"/>
  <pageSetup paperSize="9" scale="80" orientation="landscape" r:id="rId1"/>
  <ignoredErrors>
    <ignoredError sqref="B7:B11 B12:B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A0933</dc:creator>
  <cp:lastModifiedBy>A0933</cp:lastModifiedBy>
  <cp:lastPrinted>2025-11-22T13:02:03Z</cp:lastPrinted>
  <dcterms:created xsi:type="dcterms:W3CDTF">2025-11-21T14:40:46Z</dcterms:created>
  <dcterms:modified xsi:type="dcterms:W3CDTF">2025-11-23T13:50:36Z</dcterms:modified>
</cp:coreProperties>
</file>