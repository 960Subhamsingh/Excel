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bookViews>
    <workbookView xWindow="0" yWindow="0" windowWidth="15345" windowHeight="4635"/>
  </bookViews>
  <sheets>
    <sheet name="SUMIFS function - formula examp" sheetId="1" r:id="rId1"/>
    <sheet name="SUMIFS with text criteria" sheetId="2" r:id="rId2"/>
    <sheet name="SUMIFS with logical operators" sheetId="3" r:id="rId3"/>
    <sheet name="SUMIFS with blank and non-blank" sheetId="4" r:id="rId4"/>
    <sheet name="SUMIF with OR criteria - result" sheetId="5" r:id="rId5"/>
    <sheet name="Sheet11" sheetId="6" r:id="rId6"/>
    <sheet name="SUMIFS with OR criteria" sheetId="7" r:id="rId7"/>
  </sheets>
  <calcPr calcId="152511"/>
  <fileRecoveryPr repairLoad="1"/>
</workbook>
</file>

<file path=xl/calcChain.xml><?xml version="1.0" encoding="utf-8"?>
<calcChain xmlns="http://schemas.openxmlformats.org/spreadsheetml/2006/main">
  <c r="F4" i="7" l="1"/>
  <c r="F3" i="7"/>
  <c r="G2" i="6" a="1"/>
  <c r="H2" i="6" s="1"/>
  <c r="E1" i="6" a="1"/>
  <c r="E2" i="6" s="1"/>
  <c r="E3" i="5"/>
  <c r="F3" i="4"/>
  <c r="I3" i="3"/>
  <c r="F3" i="3"/>
  <c r="F3" i="2"/>
  <c r="E3" i="6" l="1"/>
  <c r="I2" i="6"/>
  <c r="E1" i="6"/>
  <c r="G2" i="6"/>
</calcChain>
</file>

<file path=xl/sharedStrings.xml><?xml version="1.0" encoding="utf-8"?>
<sst xmlns="http://schemas.openxmlformats.org/spreadsheetml/2006/main" count="155" uniqueCount="43">
  <si>
    <t>Sample Spreadsheet to SUMIFS Function</t>
  </si>
  <si>
    <t>The spreadsheet shows how to use the SUMIFS function to sum cells with multiple AND as well as OR criteria.</t>
  </si>
  <si>
    <t>Author</t>
  </si>
  <si>
    <t>https://www.Ablebits.com</t>
  </si>
  <si>
    <t>Last update</t>
  </si>
  <si>
    <t>Tutorial URL</t>
  </si>
  <si>
    <t>https://www.ablebits.com/office-addins-blog/sumifs-google-sheets/</t>
  </si>
  <si>
    <t>Examples</t>
  </si>
  <si>
    <t>Sum cells with AND logic</t>
  </si>
  <si>
    <t>Sum cells with OR logic</t>
  </si>
  <si>
    <t>SUMIFS with text criteria</t>
  </si>
  <si>
    <t>SUMIF with OR criteria (results in multiple cells)</t>
  </si>
  <si>
    <t>SUMIFS with logical operators</t>
  </si>
  <si>
    <t>SUMIF with OR criteria (result in one cell)</t>
  </si>
  <si>
    <t>SUMIFS with other functions</t>
  </si>
  <si>
    <t>SUMIFS with OR criteria</t>
  </si>
  <si>
    <t>SUMIFS with empty and non-empty cells</t>
  </si>
  <si>
    <t>Item</t>
  </si>
  <si>
    <t>Amount</t>
  </si>
  <si>
    <t>Status</t>
  </si>
  <si>
    <t>Apples</t>
  </si>
  <si>
    <t>Delivered</t>
  </si>
  <si>
    <t>Bananas</t>
  </si>
  <si>
    <t>In transit</t>
  </si>
  <si>
    <t>Total</t>
  </si>
  <si>
    <t>Oranges</t>
  </si>
  <si>
    <t>Cancelled</t>
  </si>
  <si>
    <t>Lemons</t>
  </si>
  <si>
    <t>Delivery date</t>
  </si>
  <si>
    <t>Amount greater than</t>
  </si>
  <si>
    <t xml:space="preserve">Delivered by </t>
  </si>
  <si>
    <t>Not empty</t>
  </si>
  <si>
    <t>Item 1</t>
  </si>
  <si>
    <t>Item 2</t>
  </si>
  <si>
    <t>SUMIF() + SUMIF()</t>
  </si>
  <si>
    <t>ArrayFormula</t>
  </si>
  <si>
    <t>SUMPODUCT</t>
  </si>
  <si>
    <t>Items (OR criteria)</t>
  </si>
  <si>
    <t>SUMIFS() + SUMIFS()</t>
  </si>
  <si>
    <t>SUMPRODUCT</t>
  </si>
  <si>
    <t>https://www.ablebits.com/office-addins-blog/case-sensitive-sumif-excel-google-sheets/</t>
  </si>
  <si>
    <t>https://www.ablebits.com/office-addins-blog/excel-countifs-multiple-criteria/</t>
  </si>
  <si>
    <t>https://www.ablebits.com/office-addins-blog/excel-countif-function-examples/#countif-problems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</si>
</sst>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&quot;-&quot;mmm&quot;-&quot;yyyy"/>
    <numFmt numFmtId="165" formatCode="&quot;$&quot;#,##0"/>
    <numFmt numFmtId="166" formatCode="d\-mmm\-yyyy"/>
    <numFmt numFmtId="167" formatCode="d\-mmmm\-yyyy"/>
  </numFmts>
  <fonts count="18">
    <font>
      <sz val="10"/>
      <color rgb="FF000000"/>
      <name val="Arial"/>
    </font>
    <font>
      <b/>
      <sz val="12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&quot;Calibri&quot;"/>
    </font>
    <font>
      <sz val="10"/>
      <color rgb="FFB45F06"/>
      <name val="Arial"/>
      <family val="2"/>
    </font>
    <font>
      <sz val="10"/>
      <color rgb="FF990000"/>
      <name val="Arial"/>
      <family val="2"/>
    </font>
    <font>
      <sz val="10"/>
      <color rgb="FF38761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454545"/>
      </right>
      <top/>
      <bottom/>
      <diagonal/>
    </border>
    <border>
      <left/>
      <right/>
      <top style="thin">
        <color rgb="FF454545"/>
      </top>
      <bottom/>
      <diagonal/>
    </border>
    <border>
      <left/>
      <right style="thin">
        <color rgb="FF454545"/>
      </right>
      <top style="thin">
        <color rgb="FF454545"/>
      </top>
      <bottom/>
      <diagonal/>
    </border>
    <border>
      <left/>
      <right style="thin">
        <color rgb="FF666666"/>
      </right>
      <top/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/>
      <top/>
      <bottom style="thin">
        <color rgb="FF454545"/>
      </bottom>
      <diagonal/>
    </border>
    <border>
      <left/>
      <right style="thin">
        <color rgb="FF454545"/>
      </right>
      <top/>
      <bottom style="thin">
        <color rgb="FF454545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0" xfId="0" applyFont="1" applyAlignment="1"/>
    <xf numFmtId="0" fontId="3" fillId="0" borderId="1" xfId="0" applyFont="1" applyBorder="1" applyAlignment="1"/>
    <xf numFmtId="164" fontId="2" fillId="0" borderId="0" xfId="0" applyNumberFormat="1" applyFont="1" applyAlignment="1">
      <alignment horizontal="right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horizontal="left"/>
    </xf>
    <xf numFmtId="0" fontId="9" fillId="0" borderId="0" xfId="0" applyFont="1" applyAlignment="1"/>
    <xf numFmtId="0" fontId="7" fillId="0" borderId="0" xfId="0" applyFont="1" applyAlignment="1"/>
    <xf numFmtId="0" fontId="10" fillId="2" borderId="0" xfId="0" applyFont="1" applyFill="1" applyAlignment="1"/>
    <xf numFmtId="0" fontId="10" fillId="2" borderId="0" xfId="0" applyFont="1" applyFill="1" applyAlignment="1"/>
    <xf numFmtId="0" fontId="2" fillId="0" borderId="0" xfId="0" applyFont="1" applyAlignment="1"/>
    <xf numFmtId="0" fontId="6" fillId="0" borderId="0" xfId="0" applyFont="1" applyAlignment="1"/>
    <xf numFmtId="0" fontId="11" fillId="0" borderId="0" xfId="0" applyFont="1" applyAlignment="1">
      <alignment horizontal="right"/>
    </xf>
    <xf numFmtId="0" fontId="11" fillId="3" borderId="0" xfId="0" applyFont="1" applyFill="1" applyAlignment="1"/>
    <xf numFmtId="165" fontId="11" fillId="3" borderId="0" xfId="0" applyNumberFormat="1" applyFont="1" applyFill="1" applyAlignment="1">
      <alignment horizontal="right"/>
    </xf>
    <xf numFmtId="0" fontId="11" fillId="3" borderId="0" xfId="0" applyFont="1" applyFill="1" applyAlignment="1">
      <alignment horizontal="right"/>
    </xf>
    <xf numFmtId="165" fontId="2" fillId="0" borderId="0" xfId="0" applyNumberFormat="1" applyFont="1" applyAlignment="1">
      <alignment horizontal="right"/>
    </xf>
    <xf numFmtId="0" fontId="11" fillId="4" borderId="0" xfId="0" applyFont="1" applyFill="1" applyAlignment="1"/>
    <xf numFmtId="165" fontId="11" fillId="4" borderId="0" xfId="0" applyNumberFormat="1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11" fillId="3" borderId="0" xfId="0" applyFont="1" applyFill="1" applyAlignment="1"/>
    <xf numFmtId="0" fontId="11" fillId="4" borderId="0" xfId="0" applyFont="1" applyFill="1" applyAlignment="1"/>
    <xf numFmtId="0" fontId="11" fillId="4" borderId="0" xfId="0" applyFont="1" applyFill="1" applyAlignment="1">
      <alignment horizontal="right"/>
    </xf>
    <xf numFmtId="0" fontId="11" fillId="3" borderId="0" xfId="0" applyFont="1" applyFill="1" applyAlignment="1">
      <alignment horizontal="right"/>
    </xf>
    <xf numFmtId="165" fontId="2" fillId="0" borderId="0" xfId="0" applyNumberFormat="1" applyFont="1" applyAlignment="1"/>
    <xf numFmtId="0" fontId="2" fillId="0" borderId="0" xfId="0" applyFont="1" applyAlignment="1"/>
    <xf numFmtId="0" fontId="12" fillId="0" borderId="0" xfId="0" applyFont="1"/>
    <xf numFmtId="0" fontId="13" fillId="0" borderId="0" xfId="0" applyFont="1" applyAlignment="1"/>
    <xf numFmtId="165" fontId="0" fillId="0" borderId="0" xfId="0" applyNumberFormat="1" applyFont="1" applyAlignment="1">
      <alignment horizontal="right"/>
    </xf>
    <xf numFmtId="164" fontId="11" fillId="3" borderId="0" xfId="0" applyNumberFormat="1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164" fontId="11" fillId="4" borderId="0" xfId="0" applyNumberFormat="1" applyFont="1" applyFill="1" applyAlignment="1">
      <alignment horizontal="right"/>
    </xf>
    <xf numFmtId="165" fontId="12" fillId="0" borderId="0" xfId="0" applyNumberFormat="1" applyFont="1" applyAlignment="1"/>
    <xf numFmtId="166" fontId="11" fillId="4" borderId="0" xfId="0" applyNumberFormat="1" applyFont="1" applyFill="1" applyAlignment="1">
      <alignment horizontal="right"/>
    </xf>
    <xf numFmtId="166" fontId="11" fillId="3" borderId="0" xfId="0" applyNumberFormat="1" applyFont="1" applyFill="1" applyAlignment="1">
      <alignment horizontal="right"/>
    </xf>
    <xf numFmtId="167" fontId="11" fillId="4" borderId="0" xfId="0" applyNumberFormat="1" applyFont="1" applyFill="1" applyAlignment="1">
      <alignment horizontal="right"/>
    </xf>
    <xf numFmtId="165" fontId="10" fillId="2" borderId="0" xfId="0" applyNumberFormat="1" applyFont="1" applyFill="1" applyAlignment="1"/>
    <xf numFmtId="165" fontId="1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4" fillId="0" borderId="0" xfId="0" applyFont="1"/>
    <xf numFmtId="164" fontId="2" fillId="4" borderId="0" xfId="0" applyNumberFormat="1" applyFont="1" applyFill="1" applyAlignment="1"/>
    <xf numFmtId="164" fontId="2" fillId="3" borderId="0" xfId="0" applyNumberFormat="1" applyFont="1" applyFill="1" applyAlignment="1"/>
    <xf numFmtId="164" fontId="2" fillId="0" borderId="0" xfId="0" applyNumberFormat="1" applyFont="1" applyAlignment="1"/>
    <xf numFmtId="0" fontId="10" fillId="3" borderId="0" xfId="0" applyFont="1" applyFill="1" applyAlignment="1"/>
    <xf numFmtId="0" fontId="2" fillId="0" borderId="0" xfId="0" applyFont="1" applyAlignment="1"/>
    <xf numFmtId="0" fontId="2" fillId="3" borderId="0" xfId="0" applyFont="1" applyFill="1" applyAlignment="1"/>
    <xf numFmtId="0" fontId="2" fillId="0" borderId="0" xfId="0" applyFont="1" applyAlignment="1"/>
    <xf numFmtId="0" fontId="2" fillId="0" borderId="2" xfId="0" applyFont="1" applyBorder="1" applyAlignment="1"/>
    <xf numFmtId="0" fontId="15" fillId="0" borderId="3" xfId="0" applyFont="1" applyBorder="1" applyAlignment="1"/>
    <xf numFmtId="165" fontId="15" fillId="3" borderId="4" xfId="0" applyNumberFormat="1" applyFont="1" applyFill="1" applyBorder="1" applyAlignment="1">
      <alignment horizontal="right"/>
    </xf>
    <xf numFmtId="0" fontId="2" fillId="0" borderId="5" xfId="0" applyFont="1" applyBorder="1" applyAlignment="1"/>
    <xf numFmtId="0" fontId="15" fillId="0" borderId="6" xfId="0" applyFont="1" applyBorder="1" applyAlignment="1"/>
    <xf numFmtId="0" fontId="16" fillId="0" borderId="6" xfId="0" applyFont="1" applyBorder="1" applyAlignment="1"/>
    <xf numFmtId="0" fontId="17" fillId="0" borderId="7" xfId="0" applyFont="1" applyBorder="1" applyAlignment="1"/>
    <xf numFmtId="0" fontId="15" fillId="3" borderId="0" xfId="0" applyFont="1" applyFill="1" applyAlignment="1"/>
    <xf numFmtId="165" fontId="15" fillId="3" borderId="0" xfId="0" applyNumberFormat="1" applyFont="1" applyFill="1" applyAlignment="1">
      <alignment horizontal="right"/>
    </xf>
    <xf numFmtId="0" fontId="16" fillId="3" borderId="0" xfId="0" applyFont="1" applyFill="1" applyAlignment="1"/>
    <xf numFmtId="165" fontId="17" fillId="3" borderId="2" xfId="0" applyNumberFormat="1" applyFont="1" applyFill="1" applyBorder="1" applyAlignment="1">
      <alignment horizontal="right"/>
    </xf>
    <xf numFmtId="165" fontId="2" fillId="0" borderId="5" xfId="0" applyNumberFormat="1" applyFont="1" applyBorder="1" applyAlignment="1"/>
    <xf numFmtId="165" fontId="15" fillId="3" borderId="8" xfId="0" applyNumberFormat="1" applyFont="1" applyFill="1" applyBorder="1" applyAlignment="1">
      <alignment horizontal="right"/>
    </xf>
    <xf numFmtId="165" fontId="16" fillId="3" borderId="8" xfId="0" applyNumberFormat="1" applyFont="1" applyFill="1" applyBorder="1" applyAlignment="1">
      <alignment horizontal="right"/>
    </xf>
    <xf numFmtId="165" fontId="17" fillId="3" borderId="9" xfId="0" applyNumberFormat="1" applyFont="1" applyFill="1" applyBorder="1" applyAlignment="1">
      <alignment horizontal="right"/>
    </xf>
    <xf numFmtId="0" fontId="17" fillId="4" borderId="0" xfId="0" applyFont="1" applyFill="1" applyAlignment="1"/>
    <xf numFmtId="165" fontId="17" fillId="4" borderId="0" xfId="0" applyNumberFormat="1" applyFont="1" applyFill="1" applyAlignment="1">
      <alignment horizontal="right"/>
    </xf>
    <xf numFmtId="0" fontId="17" fillId="0" borderId="10" xfId="0" applyFont="1" applyBorder="1" applyAlignment="1"/>
    <xf numFmtId="165" fontId="17" fillId="0" borderId="11" xfId="0" applyNumberFormat="1" applyFont="1" applyBorder="1" applyAlignment="1">
      <alignment horizontal="right"/>
    </xf>
    <xf numFmtId="165" fontId="16" fillId="3" borderId="0" xfId="0" applyNumberFormat="1" applyFont="1" applyFill="1" applyAlignment="1">
      <alignment horizontal="right"/>
    </xf>
    <xf numFmtId="0" fontId="17" fillId="3" borderId="0" xfId="0" applyFont="1" applyFill="1" applyAlignment="1"/>
    <xf numFmtId="165" fontId="17" fillId="3" borderId="0" xfId="0" applyNumberFormat="1" applyFont="1" applyFill="1" applyAlignment="1">
      <alignment horizontal="right"/>
    </xf>
    <xf numFmtId="0" fontId="15" fillId="4" borderId="0" xfId="0" applyFont="1" applyFill="1" applyAlignment="1"/>
    <xf numFmtId="165" fontId="15" fillId="4" borderId="0" xfId="0" applyNumberFormat="1" applyFont="1" applyFill="1" applyAlignment="1">
      <alignment horizontal="right"/>
    </xf>
    <xf numFmtId="0" fontId="15" fillId="3" borderId="0" xfId="0" applyFont="1" applyFill="1" applyAlignment="1"/>
    <xf numFmtId="0" fontId="16" fillId="3" borderId="0" xfId="0" applyFont="1" applyFill="1" applyAlignment="1"/>
    <xf numFmtId="0" fontId="16" fillId="4" borderId="0" xfId="0" applyFont="1" applyFill="1" applyAlignment="1"/>
    <xf numFmtId="165" fontId="16" fillId="4" borderId="0" xfId="0" applyNumberFormat="1" applyFont="1" applyFill="1" applyAlignment="1">
      <alignment horizontal="right"/>
    </xf>
    <xf numFmtId="0" fontId="17" fillId="4" borderId="0" xfId="0" applyFont="1" applyFill="1" applyAlignment="1"/>
    <xf numFmtId="166" fontId="2" fillId="0" borderId="0" xfId="0" applyNumberFormat="1" applyFont="1" applyAlignment="1"/>
    <xf numFmtId="165" fontId="2" fillId="0" borderId="0" xfId="0" applyNumberFormat="1" applyFont="1" applyAlignment="1"/>
    <xf numFmtId="0" fontId="1" fillId="0" borderId="0" xfId="0" applyFont="1" applyAlignment="1">
      <alignment horizontal="left"/>
    </xf>
    <xf numFmtId="0" fontId="0" fillId="0" borderId="0" xfId="0" applyFont="1" applyAlignment="1"/>
    <xf numFmtId="166" fontId="2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UMIFS with logical operators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C13">
  <tableColumns count="3">
    <tableColumn id="1" name="Item"/>
    <tableColumn id="2" name="Amount"/>
    <tableColumn id="3" name="Delivery date"/>
  </tableColumns>
  <tableStyleInfo name="SUMIFS with logical operator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blebits.com/office-addins-blog/sumifs-google-sheets/" TargetMode="External"/><Relationship Id="rId1" Type="http://schemas.openxmlformats.org/officeDocument/2006/relationships/hyperlink" Target="https://www.ablebits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Views>
    <sheetView tabSelected="1" workbookViewId="0">
      <selection activeCell="H11" sqref="H11"/>
    </sheetView>
  </sheetViews>
  <sheetFormatPr defaultColWidth="12.5703125" defaultRowHeight="15.75" customHeight="1"/>
  <sheetData>
    <row r="1" spans="1:10" ht="27" customHeight="1">
      <c r="A1" s="83" t="s">
        <v>0</v>
      </c>
      <c r="B1" s="84"/>
      <c r="C1" s="84"/>
      <c r="D1" s="84"/>
      <c r="E1" s="84"/>
      <c r="F1" s="84"/>
    </row>
    <row r="2" spans="1:10" ht="12.75">
      <c r="A2" s="1" t="s">
        <v>1</v>
      </c>
      <c r="B2" s="2"/>
      <c r="C2" s="2"/>
    </row>
    <row r="3" spans="1:10" ht="12.75">
      <c r="A3" s="3"/>
      <c r="B3" s="3"/>
      <c r="C3" s="3"/>
    </row>
    <row r="4" spans="1:10" ht="12.75">
      <c r="A4" s="3" t="s">
        <v>2</v>
      </c>
      <c r="B4" s="4" t="s">
        <v>3</v>
      </c>
      <c r="C4" s="3"/>
      <c r="J4" t="s">
        <v>40</v>
      </c>
    </row>
    <row r="5" spans="1:10" ht="12.75">
      <c r="A5" s="3" t="s">
        <v>4</v>
      </c>
      <c r="B5" s="5">
        <v>45401</v>
      </c>
      <c r="C5" s="3"/>
    </row>
    <row r="6" spans="1:10" ht="12.75">
      <c r="A6" s="3" t="s">
        <v>5</v>
      </c>
      <c r="B6" s="6" t="s">
        <v>6</v>
      </c>
      <c r="C6" s="7"/>
      <c r="J6" t="s">
        <v>6</v>
      </c>
    </row>
    <row r="7" spans="1:10" ht="12.75">
      <c r="A7" s="3"/>
      <c r="B7" s="3"/>
      <c r="C7" s="3"/>
    </row>
    <row r="8" spans="1:10" ht="12.75">
      <c r="A8" s="8" t="s">
        <v>7</v>
      </c>
      <c r="B8" s="3"/>
      <c r="C8" s="3"/>
      <c r="J8" t="s">
        <v>41</v>
      </c>
    </row>
    <row r="9" spans="1:10" ht="12.75">
      <c r="A9" s="9" t="s">
        <v>8</v>
      </c>
      <c r="D9" s="9" t="s">
        <v>9</v>
      </c>
      <c r="E9" s="9"/>
    </row>
    <row r="10" spans="1:10" ht="12.75">
      <c r="A10" s="10" t="s">
        <v>10</v>
      </c>
      <c r="D10" s="11" t="s">
        <v>11</v>
      </c>
      <c r="E10" s="12"/>
      <c r="J10" t="s">
        <v>42</v>
      </c>
    </row>
    <row r="11" spans="1:10" ht="12.75">
      <c r="A11" s="10" t="s">
        <v>12</v>
      </c>
      <c r="D11" s="11" t="s">
        <v>13</v>
      </c>
      <c r="E11" s="12"/>
    </row>
    <row r="12" spans="1:10" ht="12.75">
      <c r="A12" s="10" t="s">
        <v>14</v>
      </c>
      <c r="D12" s="11" t="s">
        <v>15</v>
      </c>
      <c r="E12" s="12"/>
    </row>
    <row r="13" spans="1:10" ht="12.75">
      <c r="A13" s="10" t="s">
        <v>16</v>
      </c>
    </row>
  </sheetData>
  <mergeCells count="1">
    <mergeCell ref="A1:F1"/>
  </mergeCells>
  <hyperlinks>
    <hyperlink ref="B4" r:id="rId1"/>
    <hyperlink ref="B6" r:id="rId2"/>
    <hyperlink ref="A10" location="'SUMIFS with text criteria'!A1" display="SUMIFS with text criteria"/>
    <hyperlink ref="D10" location="Sheet11!A1" display="SUMIF with OR criteria (results in multiple cells)"/>
    <hyperlink ref="A11" location="'SUMIFS with logical operators'!A1" display="SUMIFS with logical operators"/>
    <hyperlink ref="D11" location="'SUMIF with OR criteria - result'!A1" display="SUMIF with OR criteria (result in one cell)"/>
    <hyperlink ref="A12" location="'SUMIFS with blank and non-blank'!A1" display="SUMIFS with other functions"/>
    <hyperlink ref="D12" location="'SUMIFS with OR criteria'!A1" display="SUMIFS with OR criteria"/>
    <hyperlink ref="A13" location="'SUMIFS with blank and non-blank'!A1" display="SUMIFS with empty and non-empty cell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Views>
    <sheetView workbookViewId="0"/>
  </sheetViews>
  <sheetFormatPr defaultColWidth="12.5703125" defaultRowHeight="15.75" customHeight="1"/>
  <cols>
    <col min="1" max="7" width="12.5703125" customWidth="1"/>
  </cols>
  <sheetData>
    <row r="1" spans="1:10" ht="15.75" customHeight="1">
      <c r="A1" s="13" t="s">
        <v>17</v>
      </c>
      <c r="B1" s="13" t="s">
        <v>18</v>
      </c>
      <c r="C1" s="14" t="s">
        <v>19</v>
      </c>
      <c r="D1" s="15"/>
      <c r="E1" s="16" t="s">
        <v>17</v>
      </c>
      <c r="F1" s="17" t="s">
        <v>20</v>
      </c>
      <c r="G1" s="15"/>
      <c r="H1" s="15"/>
      <c r="I1" s="15"/>
      <c r="J1" s="15"/>
    </row>
    <row r="2" spans="1:10" ht="15.75" customHeight="1">
      <c r="A2" s="18" t="s">
        <v>20</v>
      </c>
      <c r="B2" s="19">
        <v>250</v>
      </c>
      <c r="C2" s="20" t="s">
        <v>21</v>
      </c>
      <c r="D2" s="15"/>
      <c r="E2" s="16" t="s">
        <v>19</v>
      </c>
      <c r="F2" s="21" t="s">
        <v>21</v>
      </c>
      <c r="G2" s="15"/>
      <c r="H2" s="15"/>
      <c r="I2" s="15"/>
      <c r="J2" s="15"/>
    </row>
    <row r="3" spans="1:10" ht="15.75" customHeight="1">
      <c r="A3" s="22" t="s">
        <v>22</v>
      </c>
      <c r="B3" s="23">
        <v>450</v>
      </c>
      <c r="C3" s="24" t="s">
        <v>23</v>
      </c>
      <c r="D3" s="15"/>
      <c r="E3" s="16" t="s">
        <v>24</v>
      </c>
      <c r="F3" s="21">
        <f>SUMIFS(B2:B13, A2:A13, F1, C2:C13, F2)</f>
        <v>400</v>
      </c>
      <c r="G3" s="15"/>
      <c r="H3" s="15"/>
      <c r="I3" s="15"/>
      <c r="J3" s="15"/>
    </row>
    <row r="4" spans="1:10" ht="15.75" customHeight="1">
      <c r="A4" s="25" t="s">
        <v>25</v>
      </c>
      <c r="B4" s="19">
        <v>250</v>
      </c>
      <c r="C4" s="20" t="s">
        <v>26</v>
      </c>
      <c r="D4" s="15"/>
      <c r="E4" s="15"/>
      <c r="F4" s="15"/>
      <c r="G4" s="15"/>
      <c r="H4" s="15"/>
      <c r="I4" s="15"/>
      <c r="J4" s="15"/>
    </row>
    <row r="5" spans="1:10" ht="15.75" customHeight="1">
      <c r="A5" s="26" t="s">
        <v>20</v>
      </c>
      <c r="B5" s="23">
        <v>150</v>
      </c>
      <c r="C5" s="27" t="s">
        <v>21</v>
      </c>
      <c r="D5" s="15"/>
      <c r="E5" s="15"/>
      <c r="F5" s="15"/>
      <c r="G5" s="15"/>
      <c r="H5" s="15"/>
      <c r="I5" s="15"/>
      <c r="J5" s="15"/>
    </row>
    <row r="6" spans="1:10" ht="15.75" customHeight="1">
      <c r="A6" s="25" t="s">
        <v>22</v>
      </c>
      <c r="B6" s="19">
        <v>100</v>
      </c>
      <c r="C6" s="28" t="s">
        <v>21</v>
      </c>
      <c r="D6" s="15"/>
      <c r="E6" s="15"/>
      <c r="F6" s="15"/>
      <c r="G6" s="15"/>
      <c r="H6" s="15"/>
      <c r="I6" s="15"/>
      <c r="J6" s="15"/>
    </row>
    <row r="7" spans="1:10" ht="15.75" customHeight="1">
      <c r="A7" s="26" t="s">
        <v>27</v>
      </c>
      <c r="B7" s="23">
        <v>150</v>
      </c>
      <c r="C7" s="27" t="s">
        <v>23</v>
      </c>
      <c r="D7" s="15"/>
      <c r="E7" s="15"/>
      <c r="F7" s="15"/>
      <c r="G7" s="15"/>
      <c r="H7" s="15"/>
      <c r="I7" s="15"/>
      <c r="J7" s="15"/>
    </row>
    <row r="8" spans="1:10" ht="15.75" customHeight="1">
      <c r="A8" s="25" t="s">
        <v>25</v>
      </c>
      <c r="B8" s="19">
        <v>100</v>
      </c>
      <c r="C8" s="28" t="s">
        <v>21</v>
      </c>
      <c r="D8" s="15"/>
      <c r="E8" s="15"/>
      <c r="F8" s="15"/>
      <c r="G8" s="15"/>
      <c r="H8" s="15"/>
      <c r="I8" s="15"/>
      <c r="J8" s="15"/>
    </row>
    <row r="9" spans="1:10" ht="15.75" customHeight="1">
      <c r="A9" s="26" t="s">
        <v>20</v>
      </c>
      <c r="B9" s="23">
        <v>400</v>
      </c>
      <c r="C9" s="27" t="s">
        <v>26</v>
      </c>
      <c r="D9" s="15"/>
      <c r="E9" s="15"/>
      <c r="F9" s="15"/>
      <c r="G9" s="15"/>
      <c r="H9" s="15"/>
      <c r="I9" s="15"/>
      <c r="J9" s="15"/>
    </row>
    <row r="10" spans="1:10" ht="15.75" customHeight="1">
      <c r="A10" s="25" t="s">
        <v>22</v>
      </c>
      <c r="B10" s="19">
        <v>300</v>
      </c>
      <c r="C10" s="28" t="s">
        <v>23</v>
      </c>
      <c r="D10" s="15"/>
      <c r="E10" s="15"/>
      <c r="F10" s="15"/>
      <c r="G10" s="15"/>
      <c r="H10" s="15"/>
      <c r="I10" s="15"/>
      <c r="J10" s="15"/>
    </row>
    <row r="11" spans="1:10" ht="15.75" customHeight="1">
      <c r="A11" s="22" t="s">
        <v>27</v>
      </c>
      <c r="B11" s="23">
        <v>250</v>
      </c>
      <c r="C11" s="27" t="s">
        <v>23</v>
      </c>
      <c r="D11" s="15"/>
      <c r="E11" s="15"/>
      <c r="F11" s="15"/>
      <c r="G11" s="15"/>
      <c r="H11" s="15"/>
      <c r="I11" s="15"/>
      <c r="J11" s="15"/>
    </row>
    <row r="12" spans="1:10" ht="15.75" customHeight="1">
      <c r="A12" s="25" t="s">
        <v>25</v>
      </c>
      <c r="B12" s="19">
        <v>150</v>
      </c>
      <c r="C12" s="28" t="s">
        <v>26</v>
      </c>
      <c r="D12" s="15"/>
      <c r="E12" s="15"/>
      <c r="F12" s="15"/>
      <c r="G12" s="15"/>
      <c r="H12" s="15"/>
      <c r="I12" s="15"/>
      <c r="J12" s="15"/>
    </row>
    <row r="13" spans="1:10" ht="15.75" customHeight="1">
      <c r="A13" s="26" t="s">
        <v>22</v>
      </c>
      <c r="B13" s="23">
        <v>200</v>
      </c>
      <c r="C13" s="27" t="s">
        <v>21</v>
      </c>
      <c r="D13" s="15"/>
      <c r="E13" s="15"/>
      <c r="F13" s="15"/>
      <c r="G13" s="15"/>
      <c r="H13" s="15"/>
      <c r="I13" s="15"/>
      <c r="J13" s="15"/>
    </row>
    <row r="14" spans="1:10" ht="12.75">
      <c r="A14" s="15"/>
      <c r="B14" s="29"/>
      <c r="C14" s="30"/>
      <c r="D14" s="15"/>
      <c r="E14" s="15"/>
      <c r="F14" s="15"/>
      <c r="G14" s="15"/>
      <c r="H14" s="15"/>
      <c r="I14" s="15"/>
      <c r="J14" s="15"/>
    </row>
    <row r="15" spans="1:10" ht="12.75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0" ht="12.75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spans="1:10" ht="12.75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spans="1:10" ht="12.75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spans="1:10" ht="12.75">
      <c r="A19" s="15"/>
      <c r="B19" s="15"/>
      <c r="C19" s="15"/>
      <c r="D19" s="15"/>
      <c r="E19" s="15"/>
      <c r="F19" s="15"/>
      <c r="G19" s="15"/>
      <c r="H19" s="15"/>
      <c r="I19" s="15"/>
      <c r="J1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56"/>
  <sheetViews>
    <sheetView workbookViewId="0"/>
  </sheetViews>
  <sheetFormatPr defaultColWidth="12.5703125" defaultRowHeight="15.75" customHeight="1"/>
  <cols>
    <col min="1" max="4" width="12.5703125" customWidth="1"/>
    <col min="5" max="5" width="17.42578125" customWidth="1"/>
    <col min="6" max="10" width="12.5703125" customWidth="1"/>
  </cols>
  <sheetData>
    <row r="1" spans="1:12" ht="15.75" customHeight="1">
      <c r="A1" s="14" t="s">
        <v>17</v>
      </c>
      <c r="B1" s="14" t="s">
        <v>18</v>
      </c>
      <c r="C1" s="14" t="s">
        <v>28</v>
      </c>
      <c r="D1" s="31"/>
      <c r="E1" s="32" t="s">
        <v>29</v>
      </c>
      <c r="F1" s="33">
        <v>200</v>
      </c>
      <c r="G1" s="31"/>
      <c r="H1" s="31"/>
      <c r="I1" s="31"/>
      <c r="J1" s="31"/>
      <c r="K1" s="31"/>
      <c r="L1" s="31"/>
    </row>
    <row r="2" spans="1:12" ht="15.75" customHeight="1">
      <c r="A2" s="25" t="s">
        <v>20</v>
      </c>
      <c r="B2" s="19">
        <v>250</v>
      </c>
      <c r="C2" s="34">
        <v>45366</v>
      </c>
      <c r="D2" s="31"/>
      <c r="E2" s="32" t="s">
        <v>30</v>
      </c>
      <c r="F2" s="35">
        <v>45383</v>
      </c>
      <c r="G2" s="31"/>
      <c r="H2" s="31"/>
      <c r="I2" s="31"/>
      <c r="J2" s="31"/>
      <c r="K2" s="31"/>
      <c r="L2" s="31"/>
    </row>
    <row r="3" spans="1:12" ht="15.75" customHeight="1">
      <c r="A3" s="26" t="s">
        <v>22</v>
      </c>
      <c r="B3" s="23">
        <v>450</v>
      </c>
      <c r="C3" s="36">
        <v>45434</v>
      </c>
      <c r="D3" s="31"/>
      <c r="E3" s="32" t="s">
        <v>24</v>
      </c>
      <c r="F3" s="37">
        <f>SUMIFS(B2:B13,B2:B13,"&gt;"&amp;F1,C2:C13, "&lt;"&amp;F2)</f>
        <v>900</v>
      </c>
      <c r="G3" s="31"/>
      <c r="H3" s="31"/>
      <c r="I3" s="37">
        <f>SUMIFS(B2:B13,C2:C13,"16-Mar-2024")</f>
        <v>650</v>
      </c>
      <c r="J3" s="31"/>
      <c r="K3" s="31"/>
      <c r="L3" s="31"/>
    </row>
    <row r="4" spans="1:12" ht="15.75" customHeight="1">
      <c r="A4" s="25" t="s">
        <v>25</v>
      </c>
      <c r="B4" s="19">
        <v>250</v>
      </c>
      <c r="C4" s="34">
        <v>45367</v>
      </c>
      <c r="D4" s="31"/>
      <c r="E4" s="31"/>
      <c r="F4" s="31"/>
      <c r="G4" s="31"/>
      <c r="H4" s="31"/>
      <c r="I4" s="31"/>
      <c r="J4" s="31"/>
      <c r="K4" s="31"/>
      <c r="L4" s="31"/>
    </row>
    <row r="5" spans="1:12" ht="15.75" customHeight="1">
      <c r="A5" s="26" t="s">
        <v>20</v>
      </c>
      <c r="B5" s="23">
        <v>150</v>
      </c>
      <c r="C5" s="36">
        <v>45393</v>
      </c>
      <c r="D5" s="31"/>
      <c r="E5" s="31"/>
      <c r="F5" s="31"/>
      <c r="G5" s="31"/>
      <c r="H5" s="31"/>
      <c r="I5" s="31"/>
      <c r="J5" s="31"/>
      <c r="K5" s="31"/>
      <c r="L5" s="31"/>
    </row>
    <row r="6" spans="1:12" ht="15.75" customHeight="1">
      <c r="A6" s="25" t="s">
        <v>22</v>
      </c>
      <c r="B6" s="19">
        <v>100</v>
      </c>
      <c r="C6" s="34">
        <v>45393</v>
      </c>
      <c r="D6" s="31"/>
      <c r="E6" s="31"/>
      <c r="F6" s="31"/>
      <c r="G6" s="31"/>
      <c r="H6" s="31"/>
      <c r="I6" s="31"/>
      <c r="J6" s="31"/>
      <c r="K6" s="31"/>
      <c r="L6" s="31"/>
    </row>
    <row r="7" spans="1:12" ht="15.75" customHeight="1">
      <c r="A7" s="22" t="s">
        <v>27</v>
      </c>
      <c r="B7" s="23">
        <v>150</v>
      </c>
      <c r="C7" s="36">
        <v>45363</v>
      </c>
      <c r="D7" s="31"/>
      <c r="E7" s="31"/>
      <c r="F7" s="31"/>
      <c r="G7" s="31"/>
      <c r="H7" s="31"/>
      <c r="I7" s="31"/>
      <c r="J7" s="31"/>
      <c r="K7" s="31"/>
      <c r="L7" s="31"/>
    </row>
    <row r="8" spans="1:12" ht="15.75" customHeight="1">
      <c r="A8" s="25" t="s">
        <v>25</v>
      </c>
      <c r="B8" s="19">
        <v>100</v>
      </c>
      <c r="C8" s="34">
        <v>45359</v>
      </c>
      <c r="D8" s="31"/>
      <c r="E8" s="31"/>
      <c r="F8" s="31"/>
      <c r="G8" s="31"/>
      <c r="H8" s="31"/>
      <c r="I8" s="31"/>
      <c r="J8" s="31"/>
      <c r="K8" s="31"/>
      <c r="L8" s="31"/>
    </row>
    <row r="9" spans="1:12" ht="15.75" customHeight="1">
      <c r="A9" s="26" t="s">
        <v>20</v>
      </c>
      <c r="B9" s="23">
        <v>400</v>
      </c>
      <c r="C9" s="36">
        <v>45367</v>
      </c>
      <c r="D9" s="31"/>
      <c r="E9" s="31"/>
      <c r="F9" s="31"/>
      <c r="G9" s="31"/>
      <c r="H9" s="31"/>
      <c r="I9" s="31"/>
      <c r="J9" s="31"/>
      <c r="K9" s="31"/>
      <c r="L9" s="31"/>
    </row>
    <row r="10" spans="1:12" ht="15.75" customHeight="1">
      <c r="A10" s="25" t="s">
        <v>22</v>
      </c>
      <c r="B10" s="19">
        <v>300</v>
      </c>
      <c r="C10" s="34">
        <v>45426</v>
      </c>
      <c r="D10" s="31"/>
      <c r="E10" s="31"/>
      <c r="F10" s="31"/>
      <c r="G10" s="31"/>
      <c r="H10" s="31"/>
      <c r="I10" s="31"/>
      <c r="J10" s="31"/>
      <c r="K10" s="31"/>
      <c r="L10" s="31"/>
    </row>
    <row r="11" spans="1:12" ht="15.75" customHeight="1">
      <c r="A11" s="26" t="s">
        <v>27</v>
      </c>
      <c r="B11" s="23">
        <v>250</v>
      </c>
      <c r="C11" s="38">
        <v>45401</v>
      </c>
      <c r="D11" s="31"/>
      <c r="E11" s="31"/>
      <c r="F11" s="31"/>
      <c r="G11" s="31"/>
      <c r="H11" s="31"/>
      <c r="I11" s="31"/>
      <c r="J11" s="31"/>
      <c r="K11" s="31"/>
      <c r="L11" s="31"/>
    </row>
    <row r="12" spans="1:12" ht="15.75" customHeight="1">
      <c r="A12" s="25" t="s">
        <v>25</v>
      </c>
      <c r="B12" s="19">
        <v>150</v>
      </c>
      <c r="C12" s="39">
        <v>45359</v>
      </c>
      <c r="D12" s="31"/>
      <c r="E12" s="31"/>
      <c r="F12" s="31"/>
      <c r="G12" s="31"/>
      <c r="H12" s="31"/>
      <c r="I12" s="31"/>
      <c r="J12" s="31"/>
      <c r="K12" s="31"/>
      <c r="L12" s="31"/>
    </row>
    <row r="13" spans="1:12" ht="15.75" customHeight="1">
      <c r="A13" s="26" t="s">
        <v>20</v>
      </c>
      <c r="B13" s="23">
        <v>200</v>
      </c>
      <c r="C13" s="40">
        <v>45413</v>
      </c>
      <c r="D13" s="31"/>
      <c r="E13" s="31"/>
      <c r="F13" s="31"/>
      <c r="G13" s="31"/>
      <c r="H13" s="31"/>
      <c r="I13" s="31"/>
      <c r="J13" s="31"/>
      <c r="K13" s="31"/>
      <c r="L13" s="31"/>
    </row>
    <row r="14" spans="1:12" ht="12.7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2" ht="12.7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</row>
    <row r="16" spans="1:12" ht="12.7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</row>
    <row r="17" spans="1:12" ht="12.7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</row>
    <row r="18" spans="1:12" ht="12.7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spans="1:12" ht="12.7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1:12" ht="12.7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2" ht="12.7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ht="12.7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2" ht="12.7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1:12" ht="12.7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12" ht="12.7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56" spans="1:2" ht="12.75">
      <c r="A56" s="3"/>
      <c r="B56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8"/>
  <sheetViews>
    <sheetView workbookViewId="0"/>
  </sheetViews>
  <sheetFormatPr defaultColWidth="12.5703125" defaultRowHeight="15.75" customHeight="1"/>
  <cols>
    <col min="1" max="7" width="12.5703125" customWidth="1"/>
  </cols>
  <sheetData>
    <row r="1" spans="1:11" ht="15.75" customHeight="1">
      <c r="A1" s="13" t="s">
        <v>17</v>
      </c>
      <c r="B1" s="41" t="s">
        <v>18</v>
      </c>
      <c r="C1" s="14" t="s">
        <v>28</v>
      </c>
      <c r="D1" s="15"/>
      <c r="E1" s="16" t="s">
        <v>17</v>
      </c>
      <c r="F1" s="42" t="s">
        <v>20</v>
      </c>
      <c r="G1" s="15"/>
      <c r="H1" s="15"/>
      <c r="I1" s="15"/>
    </row>
    <row r="2" spans="1:11" ht="15.75" customHeight="1">
      <c r="A2" s="18" t="s">
        <v>20</v>
      </c>
      <c r="B2" s="19">
        <v>250</v>
      </c>
      <c r="C2" s="34">
        <v>45366</v>
      </c>
      <c r="D2" s="15"/>
      <c r="E2" s="16" t="s">
        <v>28</v>
      </c>
      <c r="F2" s="43" t="s">
        <v>31</v>
      </c>
      <c r="G2" s="15"/>
      <c r="H2" s="15"/>
      <c r="I2" s="30"/>
      <c r="J2" s="9"/>
      <c r="K2" s="44"/>
    </row>
    <row r="3" spans="1:11" ht="15.75" customHeight="1">
      <c r="A3" s="22" t="s">
        <v>22</v>
      </c>
      <c r="B3" s="23">
        <v>450</v>
      </c>
      <c r="C3" s="36">
        <v>45434</v>
      </c>
      <c r="D3" s="15"/>
      <c r="E3" s="16" t="s">
        <v>24</v>
      </c>
      <c r="F3" s="21">
        <f>SUMIFS(B2:B13,A2:A13,F1,C2:C13,"&lt;&gt;")</f>
        <v>450</v>
      </c>
      <c r="G3" s="15"/>
      <c r="H3" s="15"/>
      <c r="I3" s="15"/>
    </row>
    <row r="4" spans="1:11" ht="15.75" customHeight="1">
      <c r="A4" s="25" t="s">
        <v>25</v>
      </c>
      <c r="B4" s="19">
        <v>250</v>
      </c>
      <c r="C4" s="34">
        <v>45367</v>
      </c>
      <c r="D4" s="15"/>
      <c r="E4" s="15"/>
      <c r="F4" s="15"/>
      <c r="G4" s="15"/>
      <c r="H4" s="15"/>
      <c r="I4" s="30"/>
      <c r="J4" s="9"/>
    </row>
    <row r="5" spans="1:11" ht="15.75" customHeight="1">
      <c r="A5" s="26" t="s">
        <v>20</v>
      </c>
      <c r="B5" s="23">
        <v>150</v>
      </c>
      <c r="C5" s="45"/>
      <c r="D5" s="15"/>
      <c r="E5" s="15"/>
      <c r="F5" s="15"/>
      <c r="G5" s="15"/>
      <c r="H5" s="15"/>
      <c r="I5" s="30"/>
      <c r="J5" s="9"/>
    </row>
    <row r="6" spans="1:11" ht="15.75" customHeight="1">
      <c r="A6" s="25" t="s">
        <v>22</v>
      </c>
      <c r="B6" s="19">
        <v>100</v>
      </c>
      <c r="C6" s="34">
        <v>45393</v>
      </c>
      <c r="D6" s="15"/>
      <c r="E6" s="15"/>
      <c r="F6" s="15"/>
      <c r="G6" s="15"/>
      <c r="H6" s="15"/>
      <c r="I6" s="15"/>
    </row>
    <row r="7" spans="1:11" ht="15.75" customHeight="1">
      <c r="A7" s="26" t="s">
        <v>27</v>
      </c>
      <c r="B7" s="23">
        <v>150</v>
      </c>
      <c r="C7" s="36">
        <v>45363</v>
      </c>
      <c r="D7" s="15"/>
      <c r="E7" s="15"/>
      <c r="F7" s="15"/>
      <c r="G7" s="15"/>
      <c r="H7" s="15"/>
      <c r="I7" s="30"/>
      <c r="J7" s="9"/>
    </row>
    <row r="8" spans="1:11" ht="15.75" customHeight="1">
      <c r="A8" s="25" t="s">
        <v>25</v>
      </c>
      <c r="B8" s="19">
        <v>100</v>
      </c>
      <c r="C8" s="46"/>
      <c r="D8" s="15"/>
      <c r="E8" s="15"/>
      <c r="F8" s="15"/>
      <c r="G8" s="15"/>
      <c r="H8" s="15"/>
      <c r="I8" s="15"/>
    </row>
    <row r="9" spans="1:11" ht="15.75" customHeight="1">
      <c r="A9" s="26" t="s">
        <v>20</v>
      </c>
      <c r="B9" s="23">
        <v>400</v>
      </c>
      <c r="C9" s="45"/>
      <c r="D9" s="15"/>
      <c r="E9" s="15"/>
      <c r="F9" s="15"/>
      <c r="G9" s="15"/>
      <c r="H9" s="15"/>
      <c r="I9" s="15"/>
    </row>
    <row r="10" spans="1:11" ht="15.75" customHeight="1">
      <c r="A10" s="25" t="s">
        <v>22</v>
      </c>
      <c r="B10" s="19">
        <v>300</v>
      </c>
      <c r="C10" s="34">
        <v>45426</v>
      </c>
      <c r="D10" s="15"/>
      <c r="E10" s="15"/>
      <c r="F10" s="15"/>
      <c r="G10" s="15"/>
      <c r="H10" s="15"/>
      <c r="I10" s="15"/>
    </row>
    <row r="11" spans="1:11" ht="15.75" customHeight="1">
      <c r="A11" s="22" t="s">
        <v>27</v>
      </c>
      <c r="B11" s="23">
        <v>250</v>
      </c>
      <c r="C11" s="38">
        <v>45401</v>
      </c>
      <c r="D11" s="15"/>
      <c r="E11" s="15"/>
      <c r="F11" s="15"/>
      <c r="G11" s="15"/>
      <c r="H11" s="15"/>
      <c r="I11" s="15"/>
    </row>
    <row r="12" spans="1:11" ht="15.75" customHeight="1">
      <c r="A12" s="25" t="s">
        <v>25</v>
      </c>
      <c r="B12" s="19">
        <v>150</v>
      </c>
      <c r="C12" s="39">
        <v>45359</v>
      </c>
      <c r="D12" s="15"/>
      <c r="E12" s="15"/>
      <c r="F12" s="15"/>
      <c r="G12" s="15"/>
      <c r="H12" s="15"/>
      <c r="I12" s="15"/>
    </row>
    <row r="13" spans="1:11" ht="15.75" customHeight="1">
      <c r="A13" s="26" t="s">
        <v>20</v>
      </c>
      <c r="B13" s="23">
        <v>200</v>
      </c>
      <c r="C13" s="40">
        <v>45413</v>
      </c>
      <c r="D13" s="15"/>
      <c r="E13" s="15"/>
      <c r="F13" s="15"/>
      <c r="G13" s="15"/>
      <c r="H13" s="15"/>
      <c r="I13" s="15"/>
    </row>
    <row r="14" spans="1:11" ht="12.75">
      <c r="A14" s="15"/>
      <c r="B14" s="29"/>
      <c r="C14" s="47"/>
      <c r="D14" s="15"/>
      <c r="E14" s="15"/>
      <c r="F14" s="15"/>
      <c r="G14" s="15"/>
      <c r="H14" s="15"/>
      <c r="I14" s="15"/>
    </row>
    <row r="15" spans="1:11" ht="12.75">
      <c r="A15" s="15"/>
      <c r="B15" s="15"/>
      <c r="C15" s="15"/>
      <c r="D15" s="15"/>
      <c r="E15" s="15"/>
      <c r="F15" s="15"/>
      <c r="G15" s="15"/>
      <c r="H15" s="15"/>
      <c r="I15" s="15"/>
    </row>
    <row r="16" spans="1:11" ht="12.75">
      <c r="A16" s="15"/>
      <c r="B16" s="15"/>
      <c r="C16" s="15"/>
      <c r="D16" s="15"/>
      <c r="E16" s="15"/>
      <c r="F16" s="15"/>
      <c r="G16" s="15"/>
      <c r="H16" s="15"/>
      <c r="I16" s="15"/>
    </row>
    <row r="17" spans="1:9" ht="12.75">
      <c r="A17" s="15"/>
      <c r="B17" s="15"/>
      <c r="C17" s="15"/>
      <c r="D17" s="15"/>
      <c r="E17" s="15"/>
      <c r="F17" s="15"/>
      <c r="G17" s="15"/>
      <c r="H17" s="15"/>
      <c r="I17" s="15"/>
    </row>
    <row r="18" spans="1:9" ht="12.75">
      <c r="A18" s="15"/>
      <c r="B18" s="15"/>
      <c r="C18" s="15"/>
      <c r="D18" s="15"/>
      <c r="E18" s="15"/>
      <c r="F18" s="15"/>
      <c r="G18" s="15"/>
      <c r="H18" s="15"/>
      <c r="I18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7"/>
  <sheetViews>
    <sheetView workbookViewId="0"/>
  </sheetViews>
  <sheetFormatPr defaultColWidth="12.5703125" defaultRowHeight="15.75" customHeight="1"/>
  <cols>
    <col min="1" max="5" width="12.5703125" customWidth="1"/>
    <col min="6" max="6" width="15.42578125" customWidth="1"/>
    <col min="7" max="8" width="12.5703125" customWidth="1"/>
  </cols>
  <sheetData>
    <row r="1" spans="1:11" ht="15.75" customHeight="1">
      <c r="A1" s="13" t="s">
        <v>17</v>
      </c>
      <c r="B1" s="13" t="s">
        <v>18</v>
      </c>
      <c r="C1" s="15"/>
      <c r="D1" s="48" t="s">
        <v>32</v>
      </c>
      <c r="E1" s="25" t="s">
        <v>20</v>
      </c>
      <c r="F1" s="15"/>
      <c r="G1" s="15"/>
      <c r="H1" s="15"/>
      <c r="I1" s="15"/>
      <c r="J1" s="15"/>
      <c r="K1" s="15"/>
    </row>
    <row r="2" spans="1:11" ht="15.75" customHeight="1">
      <c r="A2" s="18" t="s">
        <v>20</v>
      </c>
      <c r="B2" s="19">
        <v>250</v>
      </c>
      <c r="C2" s="15"/>
      <c r="D2" s="48" t="s">
        <v>33</v>
      </c>
      <c r="E2" s="25" t="s">
        <v>22</v>
      </c>
      <c r="F2" s="15"/>
      <c r="G2" s="15"/>
      <c r="H2" s="15"/>
      <c r="I2" s="15"/>
      <c r="J2" s="15"/>
      <c r="K2" s="15"/>
    </row>
    <row r="3" spans="1:11" ht="15.75" customHeight="1">
      <c r="A3" s="22" t="s">
        <v>27</v>
      </c>
      <c r="B3" s="23">
        <v>450</v>
      </c>
      <c r="C3" s="30"/>
      <c r="D3" s="48" t="s">
        <v>24</v>
      </c>
      <c r="E3" s="19">
        <f>SUMIF(A2:A13, E1, B2:B13) + SUMIF(A2:A13, E2, B2:B13)</f>
        <v>1500</v>
      </c>
      <c r="F3" s="49" t="s">
        <v>34</v>
      </c>
      <c r="G3" s="15"/>
      <c r="H3" s="15"/>
      <c r="I3" s="15"/>
      <c r="J3" s="15"/>
      <c r="K3" s="15"/>
    </row>
    <row r="4" spans="1:11" ht="15.75" customHeight="1">
      <c r="A4" s="25" t="s">
        <v>22</v>
      </c>
      <c r="B4" s="19">
        <v>250</v>
      </c>
      <c r="C4" s="30"/>
      <c r="D4" s="50"/>
      <c r="E4" s="19">
        <v>1500</v>
      </c>
      <c r="F4" s="51" t="s">
        <v>35</v>
      </c>
      <c r="G4" s="15"/>
      <c r="H4" s="15"/>
      <c r="I4" s="15"/>
      <c r="J4" s="15"/>
      <c r="K4" s="15"/>
    </row>
    <row r="5" spans="1:11" ht="15.75" customHeight="1">
      <c r="A5" s="26" t="s">
        <v>27</v>
      </c>
      <c r="B5" s="23">
        <v>150</v>
      </c>
      <c r="C5" s="30"/>
      <c r="D5" s="50"/>
      <c r="E5" s="19">
        <v>1500</v>
      </c>
      <c r="F5" s="51" t="s">
        <v>36</v>
      </c>
      <c r="G5" s="15"/>
      <c r="H5" s="15"/>
      <c r="I5" s="15"/>
      <c r="J5" s="15"/>
      <c r="K5" s="15"/>
    </row>
    <row r="6" spans="1:11" ht="15.75" customHeight="1">
      <c r="A6" s="25" t="s">
        <v>27</v>
      </c>
      <c r="B6" s="19">
        <v>100</v>
      </c>
      <c r="C6" s="15"/>
      <c r="D6" s="15"/>
      <c r="E6" s="15"/>
      <c r="F6" s="15"/>
      <c r="G6" s="15"/>
      <c r="H6" s="15"/>
      <c r="I6" s="15"/>
      <c r="J6" s="15"/>
      <c r="K6" s="15"/>
    </row>
    <row r="7" spans="1:11" ht="15.75" customHeight="1">
      <c r="A7" s="26" t="s">
        <v>20</v>
      </c>
      <c r="B7" s="23">
        <v>150</v>
      </c>
      <c r="C7" s="15"/>
      <c r="D7" s="15"/>
      <c r="E7" s="15"/>
      <c r="F7" s="15"/>
      <c r="G7" s="15"/>
      <c r="H7" s="15"/>
      <c r="I7" s="15"/>
      <c r="J7" s="15"/>
      <c r="K7" s="15"/>
    </row>
    <row r="8" spans="1:11" ht="15.75" customHeight="1">
      <c r="A8" s="25" t="s">
        <v>20</v>
      </c>
      <c r="B8" s="19">
        <v>100</v>
      </c>
      <c r="C8" s="15"/>
      <c r="D8" s="15"/>
      <c r="E8" s="15"/>
      <c r="F8" s="15"/>
      <c r="G8" s="15"/>
      <c r="H8" s="15"/>
      <c r="I8" s="15"/>
      <c r="J8" s="15"/>
      <c r="K8" s="15"/>
    </row>
    <row r="9" spans="1:11" ht="15.75" customHeight="1">
      <c r="A9" s="22" t="s">
        <v>27</v>
      </c>
      <c r="B9" s="23">
        <v>400</v>
      </c>
      <c r="C9" s="15"/>
      <c r="D9" s="15"/>
      <c r="E9" s="15"/>
      <c r="F9" s="15"/>
      <c r="G9" s="15"/>
      <c r="H9" s="15"/>
      <c r="I9" s="15"/>
      <c r="J9" s="15"/>
      <c r="K9" s="15"/>
    </row>
    <row r="10" spans="1:11" ht="15.75" customHeight="1">
      <c r="A10" s="18" t="s">
        <v>22</v>
      </c>
      <c r="B10" s="19">
        <v>350</v>
      </c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15.75" customHeight="1">
      <c r="A11" s="22" t="s">
        <v>22</v>
      </c>
      <c r="B11" s="23">
        <v>250</v>
      </c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15.75" customHeight="1">
      <c r="A12" s="18" t="s">
        <v>20</v>
      </c>
      <c r="B12" s="19">
        <v>150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15.75" customHeight="1">
      <c r="A13" s="22" t="s">
        <v>27</v>
      </c>
      <c r="B13" s="23">
        <v>200</v>
      </c>
      <c r="C13" s="15"/>
      <c r="D13" s="15"/>
      <c r="E13" s="15"/>
      <c r="F13" s="15"/>
      <c r="G13" s="15"/>
      <c r="H13" s="15"/>
      <c r="I13" s="15"/>
      <c r="J13" s="15"/>
      <c r="K13" s="15"/>
    </row>
    <row r="14" spans="1:11" ht="12.75">
      <c r="A14" s="30"/>
      <c r="B14" s="29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12.75">
      <c r="A15" s="30"/>
      <c r="B15" s="29"/>
      <c r="C15" s="15"/>
      <c r="D15" s="15"/>
      <c r="E15" s="15"/>
      <c r="F15" s="15"/>
      <c r="G15" s="15"/>
      <c r="H15" s="15"/>
      <c r="I15" s="15"/>
      <c r="J15" s="15"/>
      <c r="K15" s="15"/>
    </row>
    <row r="16" spans="1:11" ht="12.75">
      <c r="A16" s="15"/>
      <c r="B16" s="29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12.7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2"/>
  <sheetViews>
    <sheetView workbookViewId="0"/>
  </sheetViews>
  <sheetFormatPr defaultColWidth="12.5703125" defaultRowHeight="15.75" customHeight="1"/>
  <cols>
    <col min="1" max="9" width="12.5703125" customWidth="1"/>
    <col min="11" max="11" width="12.5703125" customWidth="1"/>
  </cols>
  <sheetData>
    <row r="1" spans="1:15" ht="15.75" customHeight="1">
      <c r="A1" s="14" t="s">
        <v>17</v>
      </c>
      <c r="B1" s="14" t="s">
        <v>18</v>
      </c>
      <c r="C1" s="52"/>
      <c r="D1" s="53" t="s">
        <v>20</v>
      </c>
      <c r="E1" s="54">
        <f t="array" ref="E1:E3">SUMIF($A$2:$A$13, {"apples";"bananas";"lemons"}, $B$2:$B$13)</f>
        <v>650</v>
      </c>
      <c r="F1" s="55"/>
      <c r="G1" s="56" t="s">
        <v>20</v>
      </c>
      <c r="H1" s="57" t="s">
        <v>22</v>
      </c>
      <c r="I1" s="58" t="s">
        <v>27</v>
      </c>
      <c r="J1" s="15"/>
      <c r="K1" s="15"/>
      <c r="L1" s="31"/>
      <c r="M1" s="31"/>
      <c r="N1" s="31"/>
      <c r="O1" s="31"/>
    </row>
    <row r="2" spans="1:15" ht="15.75" customHeight="1">
      <c r="A2" s="59" t="s">
        <v>20</v>
      </c>
      <c r="B2" s="60">
        <v>250</v>
      </c>
      <c r="C2" s="52"/>
      <c r="D2" s="61" t="s">
        <v>22</v>
      </c>
      <c r="E2" s="62">
        <v>850</v>
      </c>
      <c r="F2" s="63"/>
      <c r="G2" s="64">
        <f t="array" ref="G2:I2">SUMIF(A$2:A$13, G1:I1, $B$2:$B$13)</f>
        <v>650</v>
      </c>
      <c r="H2" s="65">
        <v>850</v>
      </c>
      <c r="I2" s="66">
        <v>1300</v>
      </c>
      <c r="J2" s="15"/>
      <c r="K2" s="15"/>
      <c r="L2" s="31"/>
      <c r="M2" s="31"/>
      <c r="N2" s="31"/>
      <c r="O2" s="31"/>
    </row>
    <row r="3" spans="1:15" ht="15.75" customHeight="1">
      <c r="A3" s="67" t="s">
        <v>27</v>
      </c>
      <c r="B3" s="68">
        <v>450</v>
      </c>
      <c r="C3" s="52"/>
      <c r="D3" s="69" t="s">
        <v>27</v>
      </c>
      <c r="E3" s="70">
        <v>1300</v>
      </c>
      <c r="F3" s="15"/>
      <c r="G3" s="15"/>
      <c r="H3" s="15"/>
      <c r="I3" s="15"/>
      <c r="J3" s="15"/>
      <c r="K3" s="15"/>
      <c r="L3" s="31"/>
      <c r="M3" s="31"/>
      <c r="N3" s="31"/>
      <c r="O3" s="31"/>
    </row>
    <row r="4" spans="1:15" ht="15.75" customHeight="1">
      <c r="A4" s="61" t="s">
        <v>22</v>
      </c>
      <c r="B4" s="71">
        <v>250</v>
      </c>
      <c r="C4" s="15"/>
      <c r="D4" s="15"/>
      <c r="E4" s="15"/>
      <c r="F4" s="15"/>
      <c r="G4" s="15"/>
      <c r="H4" s="15"/>
      <c r="I4" s="15"/>
      <c r="J4" s="15"/>
      <c r="K4" s="15"/>
      <c r="L4" s="31"/>
      <c r="M4" s="31"/>
      <c r="N4" s="31"/>
      <c r="O4" s="31"/>
    </row>
    <row r="5" spans="1:15" ht="15.75" customHeight="1">
      <c r="A5" s="67" t="s">
        <v>27</v>
      </c>
      <c r="B5" s="68">
        <v>150</v>
      </c>
      <c r="C5" s="15"/>
      <c r="D5" s="15"/>
      <c r="E5" s="15"/>
      <c r="F5" s="15"/>
      <c r="G5" s="15"/>
      <c r="H5" s="15"/>
      <c r="I5" s="15"/>
      <c r="J5" s="15"/>
      <c r="K5" s="15"/>
      <c r="L5" s="31"/>
      <c r="M5" s="31"/>
      <c r="N5" s="31"/>
      <c r="O5" s="31"/>
    </row>
    <row r="6" spans="1:15" ht="15.75" customHeight="1">
      <c r="A6" s="72" t="s">
        <v>27</v>
      </c>
      <c r="B6" s="73">
        <v>100</v>
      </c>
      <c r="C6" s="15"/>
      <c r="D6" s="15"/>
      <c r="E6" s="15"/>
      <c r="F6" s="15"/>
      <c r="G6" s="15"/>
      <c r="H6" s="15"/>
      <c r="I6" s="15"/>
      <c r="J6" s="15"/>
      <c r="K6" s="15"/>
      <c r="L6" s="31"/>
      <c r="M6" s="31"/>
      <c r="N6" s="31"/>
      <c r="O6" s="31"/>
    </row>
    <row r="7" spans="1:15" ht="15.75" customHeight="1">
      <c r="A7" s="74" t="s">
        <v>20</v>
      </c>
      <c r="B7" s="75">
        <v>150</v>
      </c>
      <c r="C7" s="15"/>
      <c r="D7" s="15"/>
      <c r="E7" s="15"/>
      <c r="F7" s="15"/>
      <c r="G7" s="15"/>
      <c r="H7" s="15"/>
      <c r="I7" s="15"/>
      <c r="J7" s="15"/>
      <c r="K7" s="15"/>
      <c r="L7" s="31"/>
      <c r="M7" s="31"/>
      <c r="N7" s="31"/>
      <c r="O7" s="31"/>
    </row>
    <row r="8" spans="1:15" ht="15.75" customHeight="1">
      <c r="A8" s="76" t="s">
        <v>20</v>
      </c>
      <c r="B8" s="60">
        <v>100</v>
      </c>
      <c r="C8" s="15"/>
      <c r="D8" s="15"/>
      <c r="E8" s="15"/>
      <c r="F8" s="15"/>
      <c r="G8" s="15"/>
      <c r="H8" s="15"/>
      <c r="I8" s="15"/>
      <c r="J8" s="15"/>
      <c r="K8" s="15"/>
      <c r="L8" s="31"/>
      <c r="M8" s="31"/>
      <c r="N8" s="31"/>
      <c r="O8" s="31"/>
    </row>
    <row r="9" spans="1:15" ht="15.75" customHeight="1">
      <c r="A9" s="67" t="s">
        <v>27</v>
      </c>
      <c r="B9" s="68">
        <v>400</v>
      </c>
      <c r="C9" s="15"/>
      <c r="D9" s="15"/>
      <c r="E9" s="15"/>
      <c r="F9" s="15"/>
      <c r="G9" s="15"/>
      <c r="H9" s="15"/>
      <c r="I9" s="15"/>
      <c r="J9" s="15"/>
      <c r="K9" s="15"/>
      <c r="L9" s="31"/>
      <c r="M9" s="31"/>
      <c r="N9" s="31"/>
      <c r="O9" s="31"/>
    </row>
    <row r="10" spans="1:15" ht="15.75" customHeight="1">
      <c r="A10" s="77" t="s">
        <v>22</v>
      </c>
      <c r="B10" s="71">
        <v>350</v>
      </c>
      <c r="C10" s="15"/>
      <c r="D10" s="15"/>
      <c r="E10" s="15"/>
      <c r="F10" s="15"/>
      <c r="G10" s="15"/>
      <c r="H10" s="15"/>
      <c r="I10" s="15"/>
      <c r="J10" s="15"/>
      <c r="K10" s="15"/>
      <c r="L10" s="31"/>
      <c r="M10" s="31"/>
      <c r="N10" s="31"/>
      <c r="O10" s="31"/>
    </row>
    <row r="11" spans="1:15" ht="15.75" customHeight="1">
      <c r="A11" s="78" t="s">
        <v>22</v>
      </c>
      <c r="B11" s="79">
        <v>250</v>
      </c>
      <c r="C11" s="15"/>
      <c r="D11" s="15"/>
      <c r="E11" s="15"/>
      <c r="F11" s="15"/>
      <c r="G11" s="15"/>
      <c r="H11" s="15"/>
      <c r="I11" s="15"/>
      <c r="J11" s="15"/>
      <c r="K11" s="15"/>
      <c r="L11" s="31"/>
      <c r="M11" s="31"/>
      <c r="N11" s="31"/>
      <c r="O11" s="31"/>
    </row>
    <row r="12" spans="1:15" ht="15.75" customHeight="1">
      <c r="A12" s="59" t="s">
        <v>20</v>
      </c>
      <c r="B12" s="60">
        <v>150</v>
      </c>
      <c r="C12" s="15"/>
      <c r="D12" s="15"/>
      <c r="E12" s="15"/>
      <c r="F12" s="15"/>
      <c r="G12" s="15"/>
      <c r="H12" s="15"/>
      <c r="I12" s="15"/>
      <c r="J12" s="15"/>
      <c r="K12" s="15"/>
      <c r="L12" s="31"/>
      <c r="M12" s="31"/>
      <c r="N12" s="31"/>
      <c r="O12" s="31"/>
    </row>
    <row r="13" spans="1:15" ht="15.75" customHeight="1">
      <c r="A13" s="80" t="s">
        <v>27</v>
      </c>
      <c r="B13" s="68">
        <v>200</v>
      </c>
      <c r="C13" s="15"/>
      <c r="D13" s="15"/>
      <c r="E13" s="15"/>
      <c r="F13" s="15"/>
      <c r="G13" s="15"/>
      <c r="H13" s="15"/>
      <c r="I13" s="15"/>
      <c r="J13" s="15"/>
      <c r="K13" s="15"/>
      <c r="L13" s="31"/>
      <c r="M13" s="31"/>
      <c r="N13" s="31"/>
      <c r="O13" s="31"/>
    </row>
    <row r="14" spans="1:15" ht="12.7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31"/>
      <c r="M14" s="31"/>
      <c r="N14" s="31"/>
      <c r="O14" s="31"/>
    </row>
    <row r="15" spans="1:15" ht="12.7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31"/>
      <c r="M15" s="31"/>
      <c r="N15" s="31"/>
      <c r="O15" s="31"/>
    </row>
    <row r="16" spans="1:15" ht="12.7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31"/>
      <c r="M16" s="31"/>
      <c r="N16" s="31"/>
      <c r="O16" s="31"/>
    </row>
    <row r="17" spans="1:15" ht="12.7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31"/>
      <c r="M17" s="31"/>
      <c r="N17" s="31"/>
      <c r="O17" s="31"/>
    </row>
    <row r="18" spans="1:15" ht="12.7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31"/>
      <c r="M18" s="31"/>
      <c r="N18" s="31"/>
      <c r="O18" s="31"/>
    </row>
    <row r="19" spans="1:15" ht="12.7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31"/>
      <c r="M19" s="31"/>
      <c r="N19" s="31"/>
      <c r="O19" s="31"/>
    </row>
    <row r="20" spans="1:15" ht="12.7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31"/>
      <c r="M20" s="31"/>
      <c r="N20" s="31"/>
      <c r="O20" s="31"/>
    </row>
    <row r="21" spans="1:15" ht="12.7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31"/>
      <c r="M21" s="31"/>
      <c r="N21" s="31"/>
      <c r="O21" s="31"/>
    </row>
    <row r="22" spans="1:15" ht="12.7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"/>
  <sheetViews>
    <sheetView workbookViewId="0"/>
  </sheetViews>
  <sheetFormatPr defaultColWidth="12.5703125" defaultRowHeight="15.75" customHeight="1"/>
  <cols>
    <col min="1" max="4" width="12.5703125" customWidth="1"/>
    <col min="5" max="5" width="15.42578125" customWidth="1"/>
    <col min="6" max="7" width="12.5703125" customWidth="1"/>
    <col min="8" max="8" width="17.7109375" customWidth="1"/>
    <col min="9" max="9" width="12.5703125" customWidth="1"/>
    <col min="13" max="13" width="12.5703125" customWidth="1"/>
  </cols>
  <sheetData>
    <row r="1" spans="1:13" ht="15.75" customHeight="1">
      <c r="A1" s="13" t="s">
        <v>17</v>
      </c>
      <c r="B1" s="41" t="s">
        <v>18</v>
      </c>
      <c r="C1" s="13" t="s">
        <v>28</v>
      </c>
      <c r="D1" s="30"/>
      <c r="E1" s="16" t="s">
        <v>37</v>
      </c>
      <c r="F1" s="42" t="s">
        <v>20</v>
      </c>
      <c r="G1" s="43" t="s">
        <v>25</v>
      </c>
      <c r="H1" s="15"/>
      <c r="I1" s="15"/>
      <c r="J1" s="15"/>
      <c r="M1" s="15"/>
    </row>
    <row r="2" spans="1:13" ht="15.75" customHeight="1">
      <c r="A2" s="18" t="s">
        <v>20</v>
      </c>
      <c r="B2" s="19">
        <v>250</v>
      </c>
      <c r="C2" s="34">
        <v>45367</v>
      </c>
      <c r="D2" s="81"/>
      <c r="E2" s="16" t="s">
        <v>28</v>
      </c>
      <c r="F2" s="85">
        <v>45367</v>
      </c>
      <c r="G2" s="84"/>
      <c r="H2" s="81"/>
      <c r="I2" s="15"/>
      <c r="J2" s="15"/>
      <c r="M2" s="15"/>
    </row>
    <row r="3" spans="1:13" ht="15.75" customHeight="1">
      <c r="A3" s="22" t="s">
        <v>22</v>
      </c>
      <c r="B3" s="23">
        <v>450</v>
      </c>
      <c r="C3" s="36">
        <v>45434</v>
      </c>
      <c r="D3" s="29"/>
      <c r="E3" s="16" t="s">
        <v>24</v>
      </c>
      <c r="F3" s="86">
        <f>SUMIFS(B2:B13, A2:A13, F1, C2:C13, F2) + SUMIFS(B2:B13, A2:A13, G1, C2:C13, F2)</f>
        <v>900</v>
      </c>
      <c r="G3" s="84"/>
      <c r="H3" s="82" t="s">
        <v>38</v>
      </c>
      <c r="I3" s="15"/>
      <c r="J3" s="15"/>
      <c r="M3" s="15"/>
    </row>
    <row r="4" spans="1:13" ht="15.75" customHeight="1">
      <c r="A4" s="25" t="s">
        <v>25</v>
      </c>
      <c r="B4" s="19">
        <v>250</v>
      </c>
      <c r="C4" s="34">
        <v>45367</v>
      </c>
      <c r="D4" s="30"/>
      <c r="E4" s="15"/>
      <c r="F4" s="86">
        <f>(SUMPRODUCT(--(C2:C13=F2), (--(ISNUMBER(MATCH(A2:A13, F1:G1, 0)))), B2:B13))</f>
        <v>900</v>
      </c>
      <c r="G4" s="84"/>
      <c r="H4" s="51" t="s">
        <v>39</v>
      </c>
      <c r="I4" s="15"/>
      <c r="J4" s="15"/>
      <c r="M4" s="15"/>
    </row>
    <row r="5" spans="1:13" ht="15.75" customHeight="1">
      <c r="A5" s="26" t="s">
        <v>20</v>
      </c>
      <c r="B5" s="23">
        <v>150</v>
      </c>
      <c r="C5" s="36">
        <v>45370</v>
      </c>
      <c r="D5" s="15"/>
      <c r="E5" s="15"/>
      <c r="F5" s="47"/>
      <c r="G5" s="15"/>
      <c r="H5" s="15"/>
      <c r="I5" s="15"/>
      <c r="J5" s="15"/>
      <c r="M5" s="15"/>
    </row>
    <row r="6" spans="1:13" ht="15.75" customHeight="1">
      <c r="A6" s="25" t="s">
        <v>22</v>
      </c>
      <c r="B6" s="19">
        <v>100</v>
      </c>
      <c r="C6" s="34">
        <v>45393</v>
      </c>
      <c r="D6" s="15"/>
      <c r="E6" s="15"/>
      <c r="F6" s="15"/>
      <c r="G6" s="15"/>
      <c r="H6" s="15"/>
      <c r="I6" s="15"/>
      <c r="J6" s="15"/>
      <c r="M6" s="15"/>
    </row>
    <row r="7" spans="1:13" ht="15.75" customHeight="1">
      <c r="A7" s="26" t="s">
        <v>27</v>
      </c>
      <c r="B7" s="23">
        <v>150</v>
      </c>
      <c r="C7" s="36">
        <v>45363</v>
      </c>
      <c r="D7" s="15"/>
      <c r="E7" s="15"/>
      <c r="F7" s="15"/>
      <c r="G7" s="15"/>
      <c r="H7" s="15"/>
      <c r="I7" s="15"/>
      <c r="J7" s="15"/>
      <c r="M7" s="15"/>
    </row>
    <row r="8" spans="1:13" ht="15.75" customHeight="1">
      <c r="A8" s="25" t="s">
        <v>25</v>
      </c>
      <c r="B8" s="19">
        <v>100</v>
      </c>
      <c r="C8" s="34">
        <v>45359</v>
      </c>
      <c r="D8" s="15"/>
      <c r="E8" s="15"/>
      <c r="F8" s="15"/>
      <c r="G8" s="15"/>
      <c r="H8" s="15"/>
      <c r="I8" s="15"/>
      <c r="J8" s="15"/>
      <c r="M8" s="15"/>
    </row>
    <row r="9" spans="1:13" ht="15.75" customHeight="1">
      <c r="A9" s="26" t="s">
        <v>20</v>
      </c>
      <c r="B9" s="23">
        <v>400</v>
      </c>
      <c r="C9" s="36">
        <v>45367</v>
      </c>
      <c r="D9" s="15"/>
      <c r="E9" s="15"/>
      <c r="F9" s="15"/>
      <c r="G9" s="15"/>
      <c r="H9" s="15"/>
      <c r="I9" s="15"/>
      <c r="J9" s="15"/>
      <c r="M9" s="15"/>
    </row>
    <row r="10" spans="1:13" ht="15.75" customHeight="1">
      <c r="A10" s="25" t="s">
        <v>22</v>
      </c>
      <c r="B10" s="19">
        <v>300</v>
      </c>
      <c r="C10" s="34">
        <v>45428</v>
      </c>
      <c r="D10" s="15"/>
      <c r="E10" s="15"/>
      <c r="F10" s="15"/>
      <c r="G10" s="15"/>
      <c r="H10" s="15"/>
      <c r="I10" s="15"/>
      <c r="J10" s="15"/>
      <c r="M10" s="15"/>
    </row>
    <row r="11" spans="1:13" ht="15.75" customHeight="1">
      <c r="A11" s="26" t="s">
        <v>27</v>
      </c>
      <c r="B11" s="23">
        <v>250</v>
      </c>
      <c r="C11" s="38">
        <v>45401</v>
      </c>
      <c r="D11" s="15"/>
      <c r="E11" s="15"/>
      <c r="F11" s="15"/>
      <c r="G11" s="15"/>
      <c r="H11" s="15"/>
      <c r="I11" s="15"/>
      <c r="J11" s="15"/>
      <c r="M11" s="15"/>
    </row>
    <row r="12" spans="1:13" ht="15.75" customHeight="1">
      <c r="A12" s="18" t="s">
        <v>25</v>
      </c>
      <c r="B12" s="19">
        <v>150</v>
      </c>
      <c r="C12" s="39">
        <v>45359</v>
      </c>
      <c r="D12" s="15"/>
      <c r="E12" s="15"/>
      <c r="F12" s="15"/>
      <c r="G12" s="15"/>
      <c r="H12" s="15"/>
      <c r="I12" s="15"/>
      <c r="J12" s="15"/>
      <c r="M12" s="15"/>
    </row>
    <row r="13" spans="1:13" ht="15.75" customHeight="1">
      <c r="A13" s="26" t="s">
        <v>20</v>
      </c>
      <c r="B13" s="23">
        <v>200</v>
      </c>
      <c r="C13" s="40">
        <v>45413</v>
      </c>
      <c r="D13" s="15"/>
      <c r="E13" s="15"/>
      <c r="F13" s="15"/>
      <c r="G13" s="15"/>
      <c r="H13" s="15"/>
      <c r="I13" s="15"/>
      <c r="J13" s="15"/>
      <c r="M13" s="15"/>
    </row>
    <row r="14" spans="1:13" ht="12.75">
      <c r="A14" s="15"/>
      <c r="B14" s="29"/>
      <c r="C14" s="47"/>
      <c r="D14" s="15"/>
      <c r="E14" s="15"/>
      <c r="F14" s="15"/>
      <c r="G14" s="15"/>
      <c r="H14" s="15"/>
      <c r="I14" s="15"/>
      <c r="J14" s="15"/>
      <c r="M14" s="15"/>
    </row>
    <row r="15" spans="1:13" ht="12.75">
      <c r="A15" s="15"/>
      <c r="B15" s="29"/>
      <c r="C15" s="47"/>
      <c r="D15" s="15"/>
      <c r="E15" s="15"/>
      <c r="F15" s="15"/>
      <c r="G15" s="15"/>
      <c r="H15" s="15"/>
      <c r="I15" s="15"/>
      <c r="J15" s="15"/>
      <c r="M15" s="15"/>
    </row>
  </sheetData>
  <mergeCells count="3">
    <mergeCell ref="F2:G2"/>
    <mergeCell ref="F3:G3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SUMIFS function - formula examp</vt:lpstr>
      <vt:lpstr>SUMIFS with text criteria</vt:lpstr>
      <vt:lpstr>SUMIFS with logical operators</vt:lpstr>
      <vt:lpstr>SUMIFS with blank and non-blank</vt:lpstr>
      <vt:lpstr>SUMIF with OR criteria - result</vt:lpstr>
      <vt:lpstr>Sheet11</vt:lpstr>
      <vt:lpstr>SUMIFS with OR criteria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2025-10-28T07:05:55Z</dcterms:created>
  <dcterms:modified xsi:type="dcterms:W3CDTF">2025-10-28T07:05:55Z</dcterms:modified>
</cp:coreProperties>
</file>