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20490" windowHeight="7755"/>
  </bookViews>
  <sheets>
    <sheet name="VLOOKUP and SUM - examples" sheetId="5" r:id="rId1"/>
    <sheet name="Sum Vlookup" sheetId="6" r:id="rId2"/>
    <sheet name="VLOOKUP calculations" sheetId="8" r:id="rId3"/>
    <sheet name="Lookup and sum" sheetId="10" r:id="rId4"/>
    <sheet name="Vlookup and Sumif" sheetId="1" r:id="rId5"/>
    <sheet name="Monthly sales" sheetId="7" r:id="rId6"/>
    <sheet name="Lookup table" sheetId="4" r:id="rId7"/>
    <sheet name="Lookup table2" sheetId="9" r:id="rId8"/>
  </sheets>
  <definedNames>
    <definedName name="Apples">'Monthly sales'!$B$2:$M$2</definedName>
    <definedName name="Apr">'Monthly sales'!$E$2:$E$9</definedName>
    <definedName name="Aug">'Monthly sales'!$I$2:$I$9</definedName>
    <definedName name="Dec">'Monthly sales'!$M$2:$M$9</definedName>
    <definedName name="Feb">'Monthly sales'!$C$2:$C$9</definedName>
    <definedName name="Grapefruit">'Monthly sales'!$B$3:$M$3</definedName>
    <definedName name="Jan">'Monthly sales'!$B$2:$B$9</definedName>
    <definedName name="Jul">'Monthly sales'!$H$2:$H$9</definedName>
    <definedName name="Jun">'Monthly sales'!$G$2:$G$9</definedName>
    <definedName name="Lemons">'Monthly sales'!$B$4:$M$4</definedName>
    <definedName name="Lime">'Monthly sales'!$B$5:$M$5</definedName>
    <definedName name="Mar">'Monthly sales'!$D$2:$D$9</definedName>
    <definedName name="May">'Monthly sales'!$F$2:$F$9</definedName>
    <definedName name="Nov">'Monthly sales'!$L$2:$L$9</definedName>
    <definedName name="Oct">'Monthly sales'!$K$2:$K$9</definedName>
    <definedName name="Oranges">'Monthly sales'!$B$6:$M$6</definedName>
    <definedName name="Peaches">'Monthly sales'!$B$7:$M$7</definedName>
    <definedName name="Pears">'Monthly sales'!$B$8:$M$8</definedName>
    <definedName name="Pineapples">'Monthly sales'!$B$9:$M$9</definedName>
    <definedName name="price_fruits" localSheetId="7">'Lookup table2'!$A$2:$B$13</definedName>
    <definedName name="Prices">'Vlookup and Sumif'!$A$2:$B$12</definedName>
    <definedName name="Product">'Monthly sales'!$B$2:$M$9</definedName>
    <definedName name="Sep">'Monthly sales'!$J$2:$J$9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0" l="1" a="1"/>
  <c r="F2" i="10" s="1"/>
  <c r="B2" i="6" a="1"/>
  <c r="B2" i="6"/>
  <c r="B3" i="6" a="1"/>
  <c r="B3" i="6" s="1"/>
  <c r="B4" i="6" a="1"/>
  <c r="B4" i="6" s="1"/>
  <c r="B5" i="6" a="1"/>
  <c r="B5" i="6" s="1"/>
  <c r="B6" i="6" a="1"/>
  <c r="B6" i="6"/>
  <c r="B7" i="6" a="1"/>
  <c r="B7" i="6" s="1"/>
  <c r="B8" i="6" a="1"/>
  <c r="B8" i="6" s="1"/>
  <c r="B9" i="6" a="1"/>
  <c r="B9" i="6" s="1"/>
  <c r="F2" i="8" a="1"/>
  <c r="F2" i="8" s="1"/>
  <c r="F3" i="8" a="1"/>
  <c r="F3" i="8"/>
  <c r="F4" i="8" a="1"/>
  <c r="F4" i="8" s="1"/>
  <c r="F5" i="8" a="1"/>
  <c r="F5" i="8" s="1"/>
  <c r="F6" i="8" a="1"/>
  <c r="F6" i="8" s="1"/>
  <c r="F7" i="8" a="1"/>
  <c r="F7" i="8" s="1"/>
  <c r="F8" i="8" a="1"/>
  <c r="F8" i="8" s="1"/>
  <c r="F9" i="8" a="1"/>
  <c r="F9" i="8" s="1"/>
  <c r="E2" i="8" a="1"/>
  <c r="E2" i="8" s="1"/>
  <c r="E3" i="8" a="1"/>
  <c r="E3" i="8"/>
  <c r="E4" i="8" a="1"/>
  <c r="E4" i="8" s="1"/>
  <c r="E5" i="8" a="1"/>
  <c r="E5" i="8" s="1"/>
  <c r="E6" i="8" a="1"/>
  <c r="E6" i="8" s="1"/>
  <c r="E7" i="8" a="1"/>
  <c r="E7" i="8" s="1"/>
  <c r="E8" i="8" a="1"/>
  <c r="E8" i="8" s="1"/>
  <c r="E9" i="8" a="1"/>
  <c r="E9" i="8" s="1"/>
  <c r="D2" i="8" a="1"/>
  <c r="D2" i="8" s="1"/>
  <c r="C2" i="8" a="1"/>
  <c r="C2" i="8" s="1"/>
  <c r="B2" i="8" a="1"/>
  <c r="B2" i="8" s="1"/>
  <c r="D3" i="8" a="1"/>
  <c r="D3" i="8" s="1"/>
  <c r="D4" i="8" a="1"/>
  <c r="D4" i="8" s="1"/>
  <c r="D5" i="8" a="1"/>
  <c r="D5" i="8" s="1"/>
  <c r="D6" i="8" a="1"/>
  <c r="D6" i="8"/>
  <c r="D7" i="8" a="1"/>
  <c r="D7" i="8" s="1"/>
  <c r="D8" i="8" a="1"/>
  <c r="D8" i="8"/>
  <c r="D9" i="8" a="1"/>
  <c r="D9" i="8" s="1"/>
  <c r="B3" i="8" a="1"/>
  <c r="B3" i="8" s="1"/>
  <c r="B4" i="8" a="1"/>
  <c r="B4" i="8" s="1"/>
  <c r="B5" i="8" a="1"/>
  <c r="B5" i="8" s="1"/>
  <c r="B6" i="8" a="1"/>
  <c r="B6" i="8" s="1"/>
  <c r="B7" i="8" a="1"/>
  <c r="B7" i="8" s="1"/>
  <c r="B8" i="8" a="1"/>
  <c r="B8" i="8" s="1"/>
  <c r="B9" i="8" a="1"/>
  <c r="B9" i="8" s="1"/>
  <c r="C3" i="8" a="1"/>
  <c r="C3" i="8" s="1"/>
  <c r="C4" i="8" a="1"/>
  <c r="C4" i="8"/>
  <c r="C5" i="8" a="1"/>
  <c r="C5" i="8" s="1"/>
  <c r="C6" i="8" a="1"/>
  <c r="C6" i="8" s="1"/>
  <c r="C7" i="8" a="1"/>
  <c r="C7" i="8" s="1"/>
  <c r="C8" i="8" a="1"/>
  <c r="C8" i="8" s="1"/>
  <c r="C9" i="8" a="1"/>
  <c r="C9" i="8" s="1"/>
  <c r="E2" i="1" l="1" a="1"/>
  <c r="E2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<sst xmlns="http://schemas.openxmlformats.org/spreadsheetml/2006/main" count="157" uniqueCount="92">
  <si>
    <t>David White</t>
  </si>
  <si>
    <t>Ronnie Anderson</t>
  </si>
  <si>
    <t>Tom Boone</t>
  </si>
  <si>
    <t>Sally Brooke</t>
  </si>
  <si>
    <t>Jeremy Hill</t>
  </si>
  <si>
    <t>Robert Furlan</t>
  </si>
  <si>
    <t>Mattias Waldau</t>
  </si>
  <si>
    <t>Dan Brown</t>
  </si>
  <si>
    <t>Lilly Smith</t>
  </si>
  <si>
    <t>Matt White</t>
  </si>
  <si>
    <t>Robert Acey</t>
  </si>
  <si>
    <t>Name</t>
  </si>
  <si>
    <t>ID</t>
  </si>
  <si>
    <t>s-001</t>
  </si>
  <si>
    <t>s-002</t>
  </si>
  <si>
    <t>s-003</t>
  </si>
  <si>
    <t>s-004</t>
  </si>
  <si>
    <t>s-005</t>
  </si>
  <si>
    <t>s-006</t>
  </si>
  <si>
    <t>s-007</t>
  </si>
  <si>
    <t>s-008</t>
  </si>
  <si>
    <t>s-009</t>
  </si>
  <si>
    <t>s-010</t>
  </si>
  <si>
    <t>s-011</t>
  </si>
  <si>
    <t>Sales</t>
  </si>
  <si>
    <t xml:space="preserve">Sales person: </t>
  </si>
  <si>
    <t>Sales:</t>
  </si>
  <si>
    <t>Author</t>
  </si>
  <si>
    <t>Last update</t>
  </si>
  <si>
    <t>Tutorial URL</t>
  </si>
  <si>
    <t>Examples:</t>
  </si>
  <si>
    <t xml:space="preserve">• </t>
  </si>
  <si>
    <t xml:space="preserve"> </t>
  </si>
  <si>
    <t>Sample Workbook to VLOOKUP and SUM in Excel</t>
  </si>
  <si>
    <t>The workbook shows how to use the VLOOKUP and SUM or SUMIF functions together to look up and sum values based on criteria.</t>
  </si>
  <si>
    <t>Product</t>
  </si>
  <si>
    <t>Sales Total</t>
  </si>
  <si>
    <t>Apples</t>
  </si>
  <si>
    <t>Grapefruit</t>
  </si>
  <si>
    <t>Lemons</t>
  </si>
  <si>
    <t>Lime</t>
  </si>
  <si>
    <t>Oranges</t>
  </si>
  <si>
    <t>Peaches</t>
  </si>
  <si>
    <t>Pears</t>
  </si>
  <si>
    <t>Pineapples</t>
  </si>
  <si>
    <t>Jan</t>
  </si>
  <si>
    <t xml:space="preserve">Feb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</si>
  <si>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</si>
  <si>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</si>
  <si>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</si>
  <si>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</si>
  <si>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</si>
  <si>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</si>
  <si>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</si>
  <si>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</si>
  <si>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</si>
  <si>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</si>
  <si>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</t>
  </si>
  <si>
    <t>Max</t>
  </si>
  <si>
    <t>Min</t>
  </si>
  <si>
    <t>Commission</t>
  </si>
  <si>
    <t>Price, kg</t>
  </si>
  <si>
    <t>Biscuits</t>
  </si>
  <si>
    <t>Cherries</t>
  </si>
  <si>
    <t>Grapes</t>
  </si>
  <si>
    <t>Ice cream</t>
  </si>
  <si>
    <t>Pies</t>
  </si>
  <si>
    <t>Sweets</t>
  </si>
  <si>
    <t xml:space="preserve">Customer </t>
  </si>
  <si>
    <t>Qty. (kg)</t>
  </si>
  <si>
    <t>Customer:</t>
  </si>
  <si>
    <t>Total:</t>
  </si>
  <si>
    <t>Vlookup and calculate</t>
  </si>
  <si>
    <t>Lookup in array and sum matching values</t>
  </si>
  <si>
    <t>Lookup and sum values with criteria</t>
  </si>
  <si>
    <t>Vlookup and sum matching values</t>
  </si>
  <si>
    <t>Operation</t>
  </si>
  <si>
    <t>Formula example</t>
  </si>
  <si>
    <t>Description</t>
  </si>
  <si>
    <t>Calculate average</t>
  </si>
  <si>
    <t>{=AVERAGE(VLOOKUP(A2, 'Lookup Table'$A$2:$D$10, {2,3,4}, FALSE))}</t>
  </si>
  <si>
    <t>The formula searches for the value of cell A2 in 'Lookup table' and calculates the average of values in columns B,C and D in the same row.</t>
  </si>
  <si>
    <t>Find maximum value</t>
  </si>
  <si>
    <t>{=MAX(VLOOKUP(A2, 'Lookup Table'$A$2:$D$10, {2,3,4}, FALSE))}</t>
  </si>
  <si>
    <t>The formula searches for the value of cell A2 in 'Lookup table' and finds the max value in columns B,C and D in the same row.</t>
  </si>
  <si>
    <t>Find minimum value</t>
  </si>
  <si>
    <t>{=MIN(VLOOKUP(A2, 'Lookup Table'$A$2:$D$10, {2,3,4}, FALSE))}</t>
  </si>
  <si>
    <t>The formula searches for the value of cell A2 in 'Lookup table' and finds the min value in columns B,C and D in the same row.</t>
  </si>
  <si>
    <t>Calculate % of sum</t>
  </si>
  <si>
    <t>{=0.3*SUM(VLOOKUP(A2, 'Lookup Table'$A$2:$D$10, {2,3,4}, FALSE))}</t>
  </si>
  <si>
    <t>The formula searches for the value of cell A2 in 'Lookup table', sums values in columns B,C and D in the same row, and then calculates 30% of the sum.</t>
  </si>
  <si>
    <t>Excel VLOOKUP errors: #N/A, #VALUE, #NAME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</si>
</sst>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&quot;$&quot;#,##0"/>
    <numFmt numFmtId="166" formatCode="[$-409]d\-mmm\-yy;@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7"/>
      <color theme="1" tint="0.24997711111789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charset val="204"/>
      <scheme val="minor"/>
    </font>
    <font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0"/>
      <color theme="1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9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/>
    <xf numFmtId="0" fontId="7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0" xfId="0" applyFont="1" applyFill="1" applyBorder="1"/>
    <xf numFmtId="0" fontId="0" fillId="0" borderId="1" xfId="0" applyFont="1" applyBorder="1"/>
    <xf numFmtId="0" fontId="3" fillId="0" borderId="2" xfId="0" applyFont="1" applyBorder="1"/>
    <xf numFmtId="0" fontId="3" fillId="0" borderId="3" xfId="0" applyFont="1" applyBorder="1"/>
    <xf numFmtId="164" fontId="0" fillId="0" borderId="0" xfId="0" applyNumberFormat="1" applyFont="1" applyBorder="1"/>
    <xf numFmtId="164" fontId="2" fillId="0" borderId="0" xfId="0" applyNumberFormat="1" applyFont="1" applyBorder="1"/>
    <xf numFmtId="0" fontId="0" fillId="0" borderId="5" xfId="0" applyBorder="1"/>
    <xf numFmtId="165" fontId="0" fillId="0" borderId="1" xfId="0" applyNumberFormat="1" applyFont="1" applyBorder="1"/>
    <xf numFmtId="0" fontId="0" fillId="0" borderId="6" xfId="0" applyBorder="1"/>
    <xf numFmtId="0" fontId="5" fillId="3" borderId="0" xfId="2" applyFill="1"/>
    <xf numFmtId="0" fontId="5" fillId="3" borderId="0" xfId="2" applyFill="1" applyAlignment="1">
      <alignment horizontal="left"/>
    </xf>
    <xf numFmtId="0" fontId="8" fillId="3" borderId="0" xfId="3" applyFont="1" applyFill="1"/>
    <xf numFmtId="166" fontId="5" fillId="3" borderId="0" xfId="2" applyNumberFormat="1" applyFill="1" applyAlignment="1">
      <alignment horizontal="left"/>
    </xf>
    <xf numFmtId="0" fontId="10" fillId="3" borderId="0" xfId="2" applyFont="1" applyFill="1" applyAlignment="1">
      <alignment vertical="top"/>
    </xf>
    <xf numFmtId="0" fontId="5" fillId="3" borderId="0" xfId="2" applyFill="1" applyAlignment="1">
      <alignment vertical="top"/>
    </xf>
    <xf numFmtId="0" fontId="5" fillId="3" borderId="0" xfId="2" applyFill="1" applyAlignment="1">
      <alignment horizontal="right"/>
    </xf>
    <xf numFmtId="0" fontId="9" fillId="3" borderId="0" xfId="1" applyFont="1" applyFill="1"/>
    <xf numFmtId="0" fontId="12" fillId="0" borderId="0" xfId="4" applyFont="1"/>
    <xf numFmtId="0" fontId="5" fillId="0" borderId="0" xfId="2"/>
    <xf numFmtId="165" fontId="0" fillId="0" borderId="0" xfId="0" applyNumberFormat="1"/>
    <xf numFmtId="0" fontId="0" fillId="4" borderId="0" xfId="0" applyFill="1"/>
    <xf numFmtId="0" fontId="13" fillId="0" borderId="0" xfId="0" applyFont="1" applyAlignment="1">
      <alignment vertical="center"/>
    </xf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0" borderId="0" xfId="0" applyFill="1"/>
    <xf numFmtId="165" fontId="3" fillId="0" borderId="4" xfId="0" applyNumberFormat="1" applyFont="1" applyBorder="1"/>
    <xf numFmtId="165" fontId="3" fillId="0" borderId="0" xfId="0" applyNumberFormat="1" applyFont="1"/>
    <xf numFmtId="164" fontId="3" fillId="0" borderId="4" xfId="0" applyNumberFormat="1" applyFont="1" applyBorder="1"/>
    <xf numFmtId="0" fontId="6" fillId="3" borderId="0" xfId="2" applyFont="1" applyFill="1" applyAlignment="1">
      <alignment horizontal="left"/>
    </xf>
    <xf numFmtId="0" fontId="5" fillId="3" borderId="0" xfId="2" applyFill="1" applyAlignment="1">
      <alignment vertical="top" wrapText="1"/>
    </xf>
    <xf numFmtId="0" fontId="9" fillId="0" borderId="0" xfId="1" applyFont="1" applyFill="1"/>
    <xf numFmtId="0" fontId="4" fillId="0" borderId="0" xfId="1"/>
  </cellXfs>
  <cellStyles count="5">
    <cellStyle name="Hyperlink" xfId="1" builtinId="8"/>
    <cellStyle name="Hyperlink 2" xfId="4"/>
    <cellStyle name="Hyperlink 3" xfId="3"/>
    <cellStyle name="Normal" xfId="0" builtinId="0"/>
    <cellStyle name="Normal 3" xfId="2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&quot;$&quot;#,##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right style="thin">
          <color theme="9"/>
        </right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fill>
        <patternFill patternType="solid">
          <fgColor indexed="64"/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&quot;$&quot;#,##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5" formatCode="&quot;$&quot;#,##0"/>
    </dxf>
  </dxfs>
  <tableStyles count="0" defaultTableStyle="TableStyleLight14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3" displayName="Table3" ref="A1:B9" totalsRowShown="0">
  <autoFilter ref="A1:B9">
    <filterColumn colId="0" hiddenButton="1"/>
    <filterColumn colId="1" hiddenButton="1"/>
  </autoFilter>
  <tableColumns count="2">
    <tableColumn id="1" name="Product"/>
    <tableColumn id="2" name="Sales Total" dataDxfId="31">
      <calculatedColumnFormula array="1">SUM(VLOOKUP(Table3[[#This Row],[Product]], Sales[], {2,3,4,5,6,7,8,9,10,11,12,13}, FALSE))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3" name="Table4" displayName="Table4" ref="A1:F9" totalsRowShown="0">
  <autoFilter ref="A1:F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name="Product"/>
    <tableColumn id="2" name="Sales Total" dataDxfId="30">
      <calculatedColumnFormula array="1">SUM(VLOOKUP(Table4[[#This Row],[Product]], Sales[], {2,3,4,5,6,7,8,9,10,11,12,13}, FALSE))</calculatedColumnFormula>
    </tableColumn>
    <tableColumn id="3" name="Average" dataDxfId="29">
      <calculatedColumnFormula array="1">AVERAGE(VLOOKUP(A2, Sales[], {2,3,4}, FALSE))</calculatedColumnFormula>
    </tableColumn>
    <tableColumn id="4" name="Max" dataDxfId="28">
      <calculatedColumnFormula array="1">MAX(VLOOKUP(Table4[[#This Row],[Product]], Sales[], {2,3,4,5,6,7,8,9,10,11,12,13}, FALSE))</calculatedColumnFormula>
    </tableColumn>
    <tableColumn id="5" name="Min" dataDxfId="27">
      <calculatedColumnFormula array="1">MIN(VLOOKUP(Table4[[#This Row],[Product]], Sales[], {2,3,4,5,6,7,8,9,10,11,12,13}, FALSE))</calculatedColumnFormula>
    </tableColumn>
    <tableColumn id="6" name="Commission" dataDxfId="26">
      <calculatedColumnFormula array="1">0.3*SUM(VLOOKUP(Table4[[#This Row],[Product]], Sales[], {2,3,4,5,6,7,8,9,10,11,12,13}, FALSE))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7" name="Table2" displayName="Table2" ref="A1:C10" totalsRowShown="0">
  <autoFilter ref="A1:C10">
    <filterColumn colId="0" hiddenButton="1"/>
    <filterColumn colId="1" hiddenButton="1"/>
    <filterColumn colId="2" hiddenButton="1"/>
  </autoFilter>
  <tableColumns count="3">
    <tableColumn id="1" name="Customer "/>
    <tableColumn id="2" name="Product"/>
    <tableColumn id="3" name="Qty. (kg)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5" name="Main_table" displayName="Main_table" ref="A1:B12" totalsRowShown="0" headerRowDxfId="25" tableBorderDxfId="24">
  <autoFilter ref="A1:B12">
    <filterColumn colId="0" hiddenButton="1"/>
    <filterColumn colId="1" hiddenButton="1"/>
  </autoFilter>
  <tableColumns count="2">
    <tableColumn id="1" name="ID" dataDxfId="23"/>
    <tableColumn id="2" name="Sales" dataDxfId="22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2" name="Sales" displayName="Sales" ref="A1:M9" totalsRowShown="0">
  <autoFilter ref="A1:M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sortState ref="A2:M9">
    <sortCondition ref="A1:A9"/>
  </sortState>
  <tableColumns count="13">
    <tableColumn id="1" name="Product" dataDxfId="21"/>
    <tableColumn id="2" name="Jan" dataDxfId="20"/>
    <tableColumn id="3" name="Feb " dataDxfId="19"/>
    <tableColumn id="4" name="Mar" dataDxfId="18"/>
    <tableColumn id="5" name="Apr" dataDxfId="17"/>
    <tableColumn id="6" name="May" dataDxfId="16"/>
    <tableColumn id="7" name="Jun" dataDxfId="15"/>
    <tableColumn id="8" name="Jul" dataDxfId="14"/>
    <tableColumn id="9" name="Aug" dataDxfId="13"/>
    <tableColumn id="10" name="Sep" dataDxfId="12"/>
    <tableColumn id="11" name="Oct" dataDxfId="11"/>
    <tableColumn id="12" name="Nov" dataDxfId="10"/>
    <tableColumn id="13" name="Dec" dataDxfId="9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6" name="Lookup_table" displayName="Lookup_table" ref="A1:B12" totalsRowShown="0" headerRowDxfId="8" dataDxfId="7" tableBorderDxfId="6">
  <autoFilter ref="A1:B12">
    <filterColumn colId="0" hiddenButton="1"/>
    <filterColumn colId="1" hiddenButton="1"/>
  </autoFilter>
  <tableColumns count="2">
    <tableColumn id="1" name="Name" dataDxfId="5"/>
    <tableColumn id="2" name="ID" dataDxfId="4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4" name="Lookup_table2" displayName="Lookup_table2" ref="A1:B10" totalsRowShown="0" headerRowDxfId="3" tableBorderDxfId="2">
  <autoFilter ref="A1:B10">
    <filterColumn colId="0" hiddenButton="1"/>
    <filterColumn colId="1" hiddenButton="1"/>
  </autoFilter>
  <sortState ref="A2:B10">
    <sortCondition ref="A8"/>
  </sortState>
  <tableColumns count="2">
    <tableColumn id="1" name="Product" dataDxfId="1"/>
    <tableColumn id="2" name="Price, kg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blebits.com/office-addins-blog/excel-vlookup-not-working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4"/>
  <sheetViews>
    <sheetView showGridLines="0" tabSelected="1" topLeftCell="A7" workbookViewId="0">
      <selection activeCell="C10" sqref="C10"/>
    </sheetView>
  </sheetViews>
  <sheetFormatPr defaultColWidth="9.140625" defaultRowHeight="15" x14ac:dyDescent="0.25"/>
  <cols>
    <col min="1" max="1" width="4.7109375" style="10" customWidth="1"/>
    <col min="2" max="2" width="38" style="10" bestFit="1" customWidth="1"/>
    <col min="3" max="3" width="93.28515625" style="10" customWidth="1"/>
    <col min="4" max="16384" width="9.140625" style="10"/>
  </cols>
  <sheetData>
    <row r="1" spans="1:4" ht="20.100000000000001" customHeight="1" x14ac:dyDescent="0.25"/>
    <row r="3" spans="1:4" ht="20.100000000000001" customHeight="1" x14ac:dyDescent="0.25"/>
    <row r="4" spans="1:4" ht="35.1" customHeight="1" x14ac:dyDescent="0.55000000000000004">
      <c r="B4" s="31" t="s">
        <v>33</v>
      </c>
      <c r="C4" s="31"/>
    </row>
    <row r="5" spans="1:4" ht="15" customHeight="1" x14ac:dyDescent="0.25"/>
    <row r="6" spans="1:4" ht="45" customHeight="1" x14ac:dyDescent="0.25">
      <c r="B6" s="32" t="s">
        <v>34</v>
      </c>
      <c r="C6" s="32"/>
    </row>
    <row r="7" spans="1:4" ht="15.95" customHeight="1" x14ac:dyDescent="0.25">
      <c r="B7" s="11" t="s">
        <v>27</v>
      </c>
      <c r="C7" s="12"/>
    </row>
    <row r="8" spans="1:4" ht="15.95" customHeight="1" x14ac:dyDescent="0.25">
      <c r="B8" s="11" t="s">
        <v>28</v>
      </c>
      <c r="C8" s="13">
        <v>44154</v>
      </c>
    </row>
    <row r="9" spans="1:4" ht="15.95" customHeight="1" x14ac:dyDescent="0.25">
      <c r="B9" s="11" t="s">
        <v>29</v>
      </c>
      <c r="C9" s="33"/>
      <c r="D9" s="33"/>
    </row>
    <row r="10" spans="1:4" x14ac:dyDescent="0.25">
      <c r="B10" s="11"/>
      <c r="C10" s="34" t="s">
        <v>91</v>
      </c>
    </row>
    <row r="11" spans="1:4" ht="20.25" customHeight="1" x14ac:dyDescent="0.25">
      <c r="B11" s="14" t="s">
        <v>30</v>
      </c>
      <c r="C11" s="15"/>
    </row>
    <row r="12" spans="1:4" s="19" customFormat="1" ht="15.95" customHeight="1" x14ac:dyDescent="0.25">
      <c r="A12" s="16" t="s">
        <v>31</v>
      </c>
      <c r="B12" s="17" t="s">
        <v>75</v>
      </c>
      <c r="C12" s="18"/>
    </row>
    <row r="13" spans="1:4" s="19" customFormat="1" ht="15.95" customHeight="1" x14ac:dyDescent="0.25">
      <c r="A13" s="16" t="s">
        <v>31</v>
      </c>
      <c r="B13" s="17" t="s">
        <v>72</v>
      </c>
      <c r="C13" s="18"/>
    </row>
    <row r="14" spans="1:4" s="19" customFormat="1" ht="15.95" customHeight="1" x14ac:dyDescent="0.25">
      <c r="A14" s="16" t="s">
        <v>31</v>
      </c>
      <c r="B14" s="17" t="s">
        <v>73</v>
      </c>
      <c r="C14" s="18"/>
    </row>
    <row r="15" spans="1:4" s="19" customFormat="1" ht="15.95" customHeight="1" x14ac:dyDescent="0.25">
      <c r="A15" s="16" t="s">
        <v>31</v>
      </c>
      <c r="B15" s="17" t="s">
        <v>74</v>
      </c>
      <c r="C15" s="18"/>
    </row>
    <row r="16" spans="1:4" s="19" customFormat="1" x14ac:dyDescent="0.25"/>
    <row r="18" spans="2:7" x14ac:dyDescent="0.25">
      <c r="G18" s="10" t="s">
        <v>32</v>
      </c>
    </row>
    <row r="20" spans="2:7" x14ac:dyDescent="0.25">
      <c r="B20" s="10" t="s">
        <v>76</v>
      </c>
      <c r="C20" s="10" t="s">
        <v>77</v>
      </c>
      <c r="D20" s="10" t="s">
        <v>78</v>
      </c>
    </row>
    <row r="21" spans="2:7" x14ac:dyDescent="0.25">
      <c r="B21" s="10" t="s">
        <v>79</v>
      </c>
      <c r="C21" s="10" t="s">
        <v>80</v>
      </c>
      <c r="D21" s="10" t="s">
        <v>81</v>
      </c>
    </row>
    <row r="22" spans="2:7" x14ac:dyDescent="0.25">
      <c r="B22" s="10" t="s">
        <v>82</v>
      </c>
      <c r="C22" s="10" t="s">
        <v>83</v>
      </c>
      <c r="D22" s="10" t="s">
        <v>84</v>
      </c>
    </row>
    <row r="23" spans="2:7" x14ac:dyDescent="0.25">
      <c r="B23" s="10" t="s">
        <v>85</v>
      </c>
      <c r="C23" s="10" t="s">
        <v>86</v>
      </c>
      <c r="D23" s="10" t="s">
        <v>87</v>
      </c>
    </row>
    <row r="24" spans="2:7" x14ac:dyDescent="0.25">
      <c r="B24" s="10" t="s">
        <v>88</v>
      </c>
      <c r="C24" s="10" t="s">
        <v>89</v>
      </c>
      <c r="D24" s="10" t="s">
        <v>90</v>
      </c>
    </row>
  </sheetData>
  <mergeCells count="3">
    <mergeCell ref="B4:C4"/>
    <mergeCell ref="B6:C6"/>
    <mergeCell ref="C9:D9"/>
  </mergeCells>
  <hyperlinks>
    <hyperlink ref="B12" location="'Sum Vlookup'!B2" display="Vlookup and sum matching values"/>
    <hyperlink ref="B13" location="'VLOOKUP calculations'!B2" display="Vlookup and calculate"/>
    <hyperlink ref="B14" location="'Lookup and sum'!F2" display="Lookup in array and sum matching values"/>
    <hyperlink ref="B15" location="'Vlookup and Sumif'!E2" display="Lookup and sum values with criteria"/>
    <hyperlink ref="C10" r:id="rId1" display="https://www.ablebits.com/office-addins-blog/excel-vlookup-not-working/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B2" sqref="B2"/>
    </sheetView>
  </sheetViews>
  <sheetFormatPr defaultRowHeight="15" x14ac:dyDescent="0.25"/>
  <cols>
    <col min="1" max="1" width="12.85546875" customWidth="1"/>
    <col min="2" max="2" width="11.85546875" customWidth="1"/>
    <col min="3" max="3" width="11.7109375" customWidth="1"/>
    <col min="4" max="4" width="10.42578125" customWidth="1"/>
    <col min="5" max="5" width="11" customWidth="1"/>
    <col min="6" max="6" width="12.42578125" customWidth="1"/>
  </cols>
  <sheetData>
    <row r="1" spans="1:14" x14ac:dyDescent="0.25">
      <c r="A1" t="s">
        <v>35</v>
      </c>
      <c r="B1" t="s">
        <v>36</v>
      </c>
    </row>
    <row r="2" spans="1:14" x14ac:dyDescent="0.25">
      <c r="A2" t="s">
        <v>37</v>
      </c>
      <c r="B2" s="29" cm="1">
        <f t="array" ref="B2">SUM(VLOOKUP(Table3[[#This Row],[Product]], Sales[], {2,3,4,5,6,7,8,9,10,11,12,13}, FALSE))</f>
        <v>172008</v>
      </c>
    </row>
    <row r="3" spans="1:14" x14ac:dyDescent="0.25">
      <c r="A3" t="s">
        <v>38</v>
      </c>
      <c r="B3" s="20" cm="1">
        <f t="array" ref="B3">SUM(VLOOKUP(Table3[[#This Row],[Product]], Sales[], {2,3,4,5,6,7,8,9,10,11,12,13}, FALSE))</f>
        <v>125792</v>
      </c>
    </row>
    <row r="4" spans="1:14" x14ac:dyDescent="0.25">
      <c r="A4" t="s">
        <v>39</v>
      </c>
      <c r="B4" s="20" cm="1">
        <f t="array" ref="B4">SUM(VLOOKUP(Table3[[#This Row],[Product]], Sales[], {2,3,4,5,6,7,8,9,10,11,12,13}, FALSE))</f>
        <v>170764</v>
      </c>
    </row>
    <row r="5" spans="1:14" x14ac:dyDescent="0.25">
      <c r="A5" t="s">
        <v>40</v>
      </c>
      <c r="B5" s="20" cm="1">
        <f t="array" ref="B5">SUM(VLOOKUP(Table3[[#This Row],[Product]], Sales[], {2,3,4,5,6,7,8,9,10,11,12,13}, FALSE))</f>
        <v>174251</v>
      </c>
    </row>
    <row r="6" spans="1:14" x14ac:dyDescent="0.25">
      <c r="A6" t="s">
        <v>41</v>
      </c>
      <c r="B6" s="20" cm="1">
        <f t="array" ref="B6">SUM(VLOOKUP(Table3[[#This Row],[Product]], Sales[], {2,3,4,5,6,7,8,9,10,11,12,13}, FALSE))</f>
        <v>146400</v>
      </c>
    </row>
    <row r="7" spans="1:14" x14ac:dyDescent="0.25">
      <c r="A7" t="s">
        <v>42</v>
      </c>
      <c r="B7" s="20" cm="1">
        <f t="array" ref="B7">SUM(VLOOKUP(Table3[[#This Row],[Product]], Sales[], {2,3,4,5,6,7,8,9,10,11,12,13}, FALSE))</f>
        <v>162693</v>
      </c>
    </row>
    <row r="8" spans="1:14" x14ac:dyDescent="0.25">
      <c r="A8" t="s">
        <v>43</v>
      </c>
      <c r="B8" s="20" cm="1">
        <f t="array" ref="B8">SUM(VLOOKUP(Table3[[#This Row],[Product]], Sales[], {2,3,4,5,6,7,8,9,10,11,12,13}, FALSE))</f>
        <v>188148</v>
      </c>
      <c r="F8" t="s">
        <v>32</v>
      </c>
    </row>
    <row r="9" spans="1:14" x14ac:dyDescent="0.25">
      <c r="A9" t="s">
        <v>44</v>
      </c>
      <c r="B9" s="20" cm="1">
        <f t="array" ref="B9">SUM(VLOOKUP(Table3[[#This Row],[Product]], Sales[], {2,3,4,5,6,7,8,9,10,11,12,13}, FALSE))</f>
        <v>186574</v>
      </c>
    </row>
    <row r="16" spans="1:14" x14ac:dyDescent="0.25">
      <c r="N16" t="s">
        <v>32</v>
      </c>
    </row>
    <row r="17" spans="16:16" x14ac:dyDescent="0.25">
      <c r="P17" t="s">
        <v>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F4" sqref="F4"/>
    </sheetView>
  </sheetViews>
  <sheetFormatPr defaultRowHeight="15" x14ac:dyDescent="0.25"/>
  <cols>
    <col min="1" max="1" width="12.85546875" customWidth="1"/>
    <col min="2" max="2" width="11.85546875" customWidth="1"/>
    <col min="3" max="3" width="11.7109375" customWidth="1"/>
    <col min="4" max="4" width="10.42578125" customWidth="1"/>
    <col min="5" max="5" width="11" customWidth="1"/>
    <col min="6" max="6" width="12.42578125" customWidth="1"/>
  </cols>
  <sheetData>
    <row r="1" spans="1:14" x14ac:dyDescent="0.25">
      <c r="A1" t="s">
        <v>35</v>
      </c>
      <c r="B1" t="s">
        <v>36</v>
      </c>
      <c r="C1" t="s">
        <v>57</v>
      </c>
      <c r="D1" t="s">
        <v>58</v>
      </c>
      <c r="E1" t="s">
        <v>59</v>
      </c>
      <c r="F1" t="s">
        <v>60</v>
      </c>
    </row>
    <row r="2" spans="1:14" x14ac:dyDescent="0.25">
      <c r="A2" t="s">
        <v>37</v>
      </c>
      <c r="B2" s="20">
        <f t="array" ref="B2">SUM(VLOOKUP(Table4[[#This Row],[Product]], Sales[], {2,3,4,5,6,7,8,9,10,11,12,13}, FALSE))</f>
        <v>172008</v>
      </c>
      <c r="C2" s="20">
        <f t="array" ref="C2">AVERAGE(VLOOKUP(A2, Sales[], {2,3,4}, FALSE))</f>
        <v>8729.6666666666661</v>
      </c>
      <c r="D2" s="20">
        <f t="array" ref="D2">MAX(VLOOKUP(Table4[[#This Row],[Product]], Sales[], {2,3,4,5,6,7,8,9,10,11,12,13}, FALSE))</f>
        <v>28799</v>
      </c>
      <c r="E2" s="20" cm="1">
        <f t="array" ref="E2">MIN(VLOOKUP(Table4[[#This Row],[Product]], Sales[], {2,3,4,5,6,7,8,9,10,11,12,13}, FALSE))</f>
        <v>1348</v>
      </c>
      <c r="F2" s="20" cm="1">
        <f t="array" ref="F2">0.3*SUM(VLOOKUP(Table4[[#This Row],[Product]], Sales[], {2,3,4,5,6,7,8,9,10,11,12,13}, FALSE))</f>
        <v>51602.400000000001</v>
      </c>
    </row>
    <row r="3" spans="1:14" x14ac:dyDescent="0.25">
      <c r="A3" t="s">
        <v>38</v>
      </c>
      <c r="B3" s="20" cm="1">
        <f t="array" ref="B3">SUM(VLOOKUP(Table4[[#This Row],[Product]], Sales[], {2,3,4,5,6,7,8,9,10,11,12,13}, FALSE))</f>
        <v>125792</v>
      </c>
      <c r="C3" s="20" cm="1">
        <f t="array" ref="C3">AVERAGE(VLOOKUP(A3, Sales[], {2,3,4}, FALSE))</f>
        <v>13494.333333333334</v>
      </c>
      <c r="D3" s="20" cm="1">
        <f t="array" ref="D3">MAX(VLOOKUP(Table4[[#This Row],[Product]], Sales[], {2,3,4,5,6,7,8,9,10,11,12,13}, FALSE))</f>
        <v>26249</v>
      </c>
      <c r="E3" s="20" cm="1">
        <f t="array" ref="E3">MIN(VLOOKUP(Table4[[#This Row],[Product]], Sales[], {2,3,4,5,6,7,8,9,10,11,12,13}, FALSE))</f>
        <v>1080</v>
      </c>
      <c r="F3" s="20" cm="1">
        <f t="array" ref="F3">0.3*SUM(VLOOKUP(Table4[[#This Row],[Product]], Sales[], {2,3,4,5,6,7,8,9,10,11,12,13}, FALSE))</f>
        <v>37737.599999999999</v>
      </c>
    </row>
    <row r="4" spans="1:14" x14ac:dyDescent="0.25">
      <c r="A4" t="s">
        <v>39</v>
      </c>
      <c r="B4" s="20" cm="1">
        <f t="array" ref="B4">SUM(VLOOKUP(Table4[[#This Row],[Product]], Sales[], {2,3,4,5,6,7,8,9,10,11,12,13}, FALSE))</f>
        <v>170764</v>
      </c>
      <c r="C4" s="20" cm="1">
        <f t="array" ref="C4">AVERAGE(VLOOKUP(A4, Sales[], {2,3,4}, FALSE))</f>
        <v>9731</v>
      </c>
      <c r="D4" s="20" cm="1">
        <f t="array" ref="D4">MAX(VLOOKUP(Table4[[#This Row],[Product]], Sales[], {2,3,4,5,6,7,8,9,10,11,12,13}, FALSE))</f>
        <v>24982</v>
      </c>
      <c r="E4" s="20" cm="1">
        <f t="array" ref="E4">MIN(VLOOKUP(Table4[[#This Row],[Product]], Sales[], {2,3,4,5,6,7,8,9,10,11,12,13}, FALSE))</f>
        <v>5664</v>
      </c>
      <c r="F4" s="20" cm="1">
        <f t="array" ref="F4">0.3*SUM(VLOOKUP(Table4[[#This Row],[Product]], Sales[], {2,3,4,5,6,7,8,9,10,11,12,13}, FALSE))</f>
        <v>51229.2</v>
      </c>
    </row>
    <row r="5" spans="1:14" x14ac:dyDescent="0.25">
      <c r="A5" t="s">
        <v>40</v>
      </c>
      <c r="B5" s="20" cm="1">
        <f t="array" ref="B5">SUM(VLOOKUP(Table4[[#This Row],[Product]], Sales[], {2,3,4,5,6,7,8,9,10,11,12,13}, FALSE))</f>
        <v>174251</v>
      </c>
      <c r="C5" s="20" cm="1">
        <f t="array" ref="C5">AVERAGE(VLOOKUP(A5, Sales[], {2,3,4}, FALSE))</f>
        <v>16789.666666666668</v>
      </c>
      <c r="D5" s="20" cm="1">
        <f t="array" ref="D5">MAX(VLOOKUP(Table4[[#This Row],[Product]], Sales[], {2,3,4,5,6,7,8,9,10,11,12,13}, FALSE))</f>
        <v>28913</v>
      </c>
      <c r="E5" s="20" cm="1">
        <f t="array" ref="E5">MIN(VLOOKUP(Table4[[#This Row],[Product]], Sales[], {2,3,4,5,6,7,8,9,10,11,12,13}, FALSE))</f>
        <v>1026</v>
      </c>
      <c r="F5" s="20" cm="1">
        <f t="array" ref="F5">0.3*SUM(VLOOKUP(Table4[[#This Row],[Product]], Sales[], {2,3,4,5,6,7,8,9,10,11,12,13}, FALSE))</f>
        <v>52275.299999999996</v>
      </c>
    </row>
    <row r="6" spans="1:14" x14ac:dyDescent="0.25">
      <c r="A6" t="s">
        <v>41</v>
      </c>
      <c r="B6" s="20" cm="1">
        <f t="array" ref="B6">SUM(VLOOKUP(Table4[[#This Row],[Product]], Sales[], {2,3,4,5,6,7,8,9,10,11,12,13}, FALSE))</f>
        <v>146400</v>
      </c>
      <c r="C6" s="20" cm="1">
        <f t="array" ref="C6">AVERAGE(VLOOKUP(A6, Sales[], {2,3,4}, FALSE))</f>
        <v>13769.333333333334</v>
      </c>
      <c r="D6" s="20" cm="1">
        <f t="array" ref="D6">MAX(VLOOKUP(Table4[[#This Row],[Product]], Sales[], {2,3,4,5,6,7,8,9,10,11,12,13}, FALSE))</f>
        <v>28918</v>
      </c>
      <c r="E6" s="20" cm="1">
        <f t="array" ref="E6">MIN(VLOOKUP(Table4[[#This Row],[Product]], Sales[], {2,3,4,5,6,7,8,9,10,11,12,13}, FALSE))</f>
        <v>3578</v>
      </c>
      <c r="F6" s="20" cm="1">
        <f t="array" ref="F6">0.3*SUM(VLOOKUP(Table4[[#This Row],[Product]], Sales[], {2,3,4,5,6,7,8,9,10,11,12,13}, FALSE))</f>
        <v>43920</v>
      </c>
    </row>
    <row r="7" spans="1:14" x14ac:dyDescent="0.25">
      <c r="A7" t="s">
        <v>42</v>
      </c>
      <c r="B7" s="20" cm="1">
        <f t="array" ref="B7">SUM(VLOOKUP(Table4[[#This Row],[Product]], Sales[], {2,3,4,5,6,7,8,9,10,11,12,13}, FALSE))</f>
        <v>162693</v>
      </c>
      <c r="C7" s="20" cm="1">
        <f t="array" ref="C7">AVERAGE(VLOOKUP(A7, Sales[], {2,3,4}, FALSE))</f>
        <v>7742.333333333333</v>
      </c>
      <c r="D7" s="20" cm="1">
        <f t="array" ref="D7">MAX(VLOOKUP(Table4[[#This Row],[Product]], Sales[], {2,3,4,5,6,7,8,9,10,11,12,13}, FALSE))</f>
        <v>29962</v>
      </c>
      <c r="E7" s="20" cm="1">
        <f t="array" ref="E7">MIN(VLOOKUP(Table4[[#This Row],[Product]], Sales[], {2,3,4,5,6,7,8,9,10,11,12,13}, FALSE))</f>
        <v>2137</v>
      </c>
      <c r="F7" s="20" cm="1">
        <f t="array" ref="F7">0.3*SUM(VLOOKUP(Table4[[#This Row],[Product]], Sales[], {2,3,4,5,6,7,8,9,10,11,12,13}, FALSE))</f>
        <v>48807.9</v>
      </c>
    </row>
    <row r="8" spans="1:14" x14ac:dyDescent="0.25">
      <c r="A8" t="s">
        <v>43</v>
      </c>
      <c r="B8" s="20" cm="1">
        <f t="array" ref="B8">SUM(VLOOKUP(Table4[[#This Row],[Product]], Sales[], {2,3,4,5,6,7,8,9,10,11,12,13}, FALSE))</f>
        <v>188148</v>
      </c>
      <c r="C8" s="20" cm="1">
        <f t="array" ref="C8">AVERAGE(VLOOKUP(A8, Sales[], {2,3,4}, FALSE))</f>
        <v>18569</v>
      </c>
      <c r="D8" s="20" cm="1">
        <f t="array" ref="D8">MAX(VLOOKUP(Table4[[#This Row],[Product]], Sales[], {2,3,4,5,6,7,8,9,10,11,12,13}, FALSE))</f>
        <v>28917</v>
      </c>
      <c r="E8" s="20" cm="1">
        <f t="array" ref="E8">MIN(VLOOKUP(Table4[[#This Row],[Product]], Sales[], {2,3,4,5,6,7,8,9,10,11,12,13}, FALSE))</f>
        <v>1643</v>
      </c>
      <c r="F8" s="20" cm="1">
        <f t="array" ref="F8">0.3*SUM(VLOOKUP(Table4[[#This Row],[Product]], Sales[], {2,3,4,5,6,7,8,9,10,11,12,13}, FALSE))</f>
        <v>56444.4</v>
      </c>
    </row>
    <row r="9" spans="1:14" x14ac:dyDescent="0.25">
      <c r="A9" t="s">
        <v>44</v>
      </c>
      <c r="B9" s="20" cm="1">
        <f t="array" ref="B9">SUM(VLOOKUP(Table4[[#This Row],[Product]], Sales[], {2,3,4,5,6,7,8,9,10,11,12,13}, FALSE))</f>
        <v>186574</v>
      </c>
      <c r="C9" s="20" cm="1">
        <f t="array" ref="C9">AVERAGE(VLOOKUP(A9, Sales[], {2,3,4}, FALSE))</f>
        <v>15116.333333333334</v>
      </c>
      <c r="D9" s="20" cm="1">
        <f t="array" ref="D9">MAX(VLOOKUP(Table4[[#This Row],[Product]], Sales[], {2,3,4,5,6,7,8,9,10,11,12,13}, FALSE))</f>
        <v>27890</v>
      </c>
      <c r="E9" s="20" cm="1">
        <f t="array" ref="E9">MIN(VLOOKUP(Table4[[#This Row],[Product]], Sales[], {2,3,4,5,6,7,8,9,10,11,12,13}, FALSE))</f>
        <v>3334</v>
      </c>
      <c r="F9" s="20" cm="1">
        <f t="array" ref="F9">0.3*SUM(VLOOKUP(Table4[[#This Row],[Product]], Sales[], {2,3,4,5,6,7,8,9,10,11,12,13}, FALSE))</f>
        <v>55972.2</v>
      </c>
    </row>
    <row r="16" spans="1:14" x14ac:dyDescent="0.25">
      <c r="N16" t="s">
        <v>32</v>
      </c>
    </row>
    <row r="17" spans="16:16" x14ac:dyDescent="0.25">
      <c r="P17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F2" sqref="F2"/>
    </sheetView>
  </sheetViews>
  <sheetFormatPr defaultRowHeight="15" x14ac:dyDescent="0.25"/>
  <cols>
    <col min="1" max="1" width="16.7109375" customWidth="1"/>
    <col min="2" max="2" width="10.42578125" customWidth="1"/>
    <col min="3" max="3" width="8.5703125" customWidth="1"/>
    <col min="5" max="5" width="14.85546875" customWidth="1"/>
    <col min="6" max="6" width="17.5703125" customWidth="1"/>
  </cols>
  <sheetData>
    <row r="1" spans="1:6" x14ac:dyDescent="0.25">
      <c r="A1" t="s">
        <v>68</v>
      </c>
      <c r="B1" t="s">
        <v>35</v>
      </c>
      <c r="C1" t="s">
        <v>69</v>
      </c>
      <c r="E1" s="3" t="s">
        <v>70</v>
      </c>
      <c r="F1" s="9" t="s">
        <v>8</v>
      </c>
    </row>
    <row r="2" spans="1:6" x14ac:dyDescent="0.25">
      <c r="A2" t="s">
        <v>1</v>
      </c>
      <c r="B2" t="s">
        <v>37</v>
      </c>
      <c r="C2">
        <v>2.1</v>
      </c>
      <c r="E2" s="4" t="s">
        <v>71</v>
      </c>
      <c r="F2" s="30">
        <f t="array" ref="F2">SUM(LOOKUP($B$2:$B$10, Lookup_table2[Product], Lookup_table2[Price, kg])*$C$2:$C$10*($A$2:$A$10=$F$1))</f>
        <v>122.58999999999999</v>
      </c>
    </row>
    <row r="3" spans="1:6" x14ac:dyDescent="0.25">
      <c r="A3" t="s">
        <v>1</v>
      </c>
      <c r="B3" t="s">
        <v>39</v>
      </c>
      <c r="C3">
        <v>1</v>
      </c>
    </row>
    <row r="4" spans="1:6" x14ac:dyDescent="0.25">
      <c r="A4" t="s">
        <v>2</v>
      </c>
      <c r="B4" t="s">
        <v>37</v>
      </c>
      <c r="C4">
        <v>7</v>
      </c>
    </row>
    <row r="5" spans="1:6" x14ac:dyDescent="0.25">
      <c r="A5" t="s">
        <v>8</v>
      </c>
      <c r="B5" s="27" t="s">
        <v>66</v>
      </c>
      <c r="C5">
        <v>12</v>
      </c>
    </row>
    <row r="6" spans="1:6" x14ac:dyDescent="0.25">
      <c r="A6" t="s">
        <v>2</v>
      </c>
      <c r="B6" s="27" t="s">
        <v>67</v>
      </c>
      <c r="C6" s="27">
        <v>1</v>
      </c>
    </row>
    <row r="7" spans="1:6" x14ac:dyDescent="0.25">
      <c r="A7" t="s">
        <v>8</v>
      </c>
      <c r="B7" s="27" t="s">
        <v>62</v>
      </c>
      <c r="C7" s="27">
        <v>3</v>
      </c>
    </row>
    <row r="8" spans="1:6" x14ac:dyDescent="0.25">
      <c r="A8" t="s">
        <v>8</v>
      </c>
      <c r="B8" s="27" t="s">
        <v>37</v>
      </c>
      <c r="C8" s="27">
        <v>10</v>
      </c>
    </row>
    <row r="9" spans="1:6" x14ac:dyDescent="0.25">
      <c r="A9" t="s">
        <v>1</v>
      </c>
      <c r="B9" s="27" t="s">
        <v>66</v>
      </c>
      <c r="C9" s="27">
        <v>2</v>
      </c>
    </row>
    <row r="10" spans="1:6" x14ac:dyDescent="0.25">
      <c r="A10" t="s">
        <v>8</v>
      </c>
      <c r="B10" s="27" t="s">
        <v>41</v>
      </c>
      <c r="C10" s="27">
        <v>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A4" sqref="A4"/>
    </sheetView>
  </sheetViews>
  <sheetFormatPr defaultRowHeight="15" x14ac:dyDescent="0.25"/>
  <cols>
    <col min="1" max="1" width="11.42578125" customWidth="1"/>
    <col min="2" max="2" width="13.28515625" customWidth="1"/>
    <col min="3" max="3" width="12.28515625" customWidth="1"/>
    <col min="4" max="4" width="13.85546875" customWidth="1"/>
    <col min="5" max="5" width="11.140625" bestFit="1" customWidth="1"/>
  </cols>
  <sheetData>
    <row r="1" spans="1:5" x14ac:dyDescent="0.25">
      <c r="A1" s="1" t="s">
        <v>12</v>
      </c>
      <c r="B1" s="1" t="s">
        <v>24</v>
      </c>
      <c r="D1" s="3" t="s">
        <v>25</v>
      </c>
      <c r="E1" s="7" t="s">
        <v>7</v>
      </c>
    </row>
    <row r="2" spans="1:5" x14ac:dyDescent="0.25">
      <c r="A2" s="2" t="s">
        <v>15</v>
      </c>
      <c r="B2" s="8">
        <v>10450</v>
      </c>
      <c r="C2" s="5"/>
      <c r="D2" s="4" t="s">
        <v>26</v>
      </c>
      <c r="E2" s="28">
        <f t="array" ref="E2">SUMIF(Main_table[ID],VLOOKUP($E$1,Lookup_table[],2,FALSE),Main_table[Sales])</f>
        <v>13349.3</v>
      </c>
    </row>
    <row r="3" spans="1:5" x14ac:dyDescent="0.25">
      <c r="A3" s="2" t="s">
        <v>15</v>
      </c>
      <c r="B3" s="8">
        <v>2000.75</v>
      </c>
      <c r="C3" s="5"/>
    </row>
    <row r="4" spans="1:5" x14ac:dyDescent="0.25">
      <c r="A4" s="2" t="s">
        <v>17</v>
      </c>
      <c r="B4" s="8">
        <v>1900</v>
      </c>
      <c r="C4" s="5"/>
    </row>
    <row r="5" spans="1:5" x14ac:dyDescent="0.25">
      <c r="A5" s="2" t="s">
        <v>20</v>
      </c>
      <c r="B5" s="8">
        <v>7832.1</v>
      </c>
      <c r="C5" s="5"/>
    </row>
    <row r="6" spans="1:5" x14ac:dyDescent="0.25">
      <c r="A6" s="2" t="s">
        <v>17</v>
      </c>
      <c r="B6" s="8">
        <v>192.9</v>
      </c>
      <c r="C6" s="5"/>
    </row>
    <row r="7" spans="1:5" x14ac:dyDescent="0.25">
      <c r="A7" s="2" t="s">
        <v>20</v>
      </c>
      <c r="B7" s="8">
        <v>1500</v>
      </c>
      <c r="C7" s="5"/>
    </row>
    <row r="8" spans="1:5" x14ac:dyDescent="0.25">
      <c r="A8" s="2" t="s">
        <v>20</v>
      </c>
      <c r="B8" s="8">
        <v>3900.2</v>
      </c>
      <c r="C8" s="6"/>
    </row>
    <row r="9" spans="1:5" x14ac:dyDescent="0.25">
      <c r="A9" s="2" t="s">
        <v>16</v>
      </c>
      <c r="B9" s="8">
        <v>346</v>
      </c>
    </row>
    <row r="10" spans="1:5" x14ac:dyDescent="0.25">
      <c r="A10" s="2" t="s">
        <v>16</v>
      </c>
      <c r="B10" s="8">
        <v>263</v>
      </c>
    </row>
    <row r="11" spans="1:5" x14ac:dyDescent="0.25">
      <c r="A11" s="2" t="s">
        <v>16</v>
      </c>
      <c r="B11" s="8">
        <v>344</v>
      </c>
    </row>
    <row r="12" spans="1:5" x14ac:dyDescent="0.25">
      <c r="A12" s="2" t="s">
        <v>20</v>
      </c>
      <c r="B12" s="8">
        <v>117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B1" zoomScaleNormal="100" workbookViewId="0">
      <selection activeCell="O4" sqref="O4"/>
    </sheetView>
  </sheetViews>
  <sheetFormatPr defaultRowHeight="15" x14ac:dyDescent="0.25"/>
  <cols>
    <col min="1" max="1" width="12.28515625" customWidth="1"/>
  </cols>
  <sheetData>
    <row r="1" spans="1:13" x14ac:dyDescent="0.25">
      <c r="A1" t="s">
        <v>35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</row>
    <row r="2" spans="1:13" x14ac:dyDescent="0.25">
      <c r="A2" s="21" t="s">
        <v>37</v>
      </c>
      <c r="B2" s="20">
        <v>2773</v>
      </c>
      <c r="C2" s="20">
        <v>17462</v>
      </c>
      <c r="D2" s="20">
        <v>5954</v>
      </c>
      <c r="E2" s="20">
        <v>1348</v>
      </c>
      <c r="F2" s="20">
        <v>28158</v>
      </c>
      <c r="G2" s="20">
        <v>28799</v>
      </c>
      <c r="H2" s="20">
        <v>25415</v>
      </c>
      <c r="I2" s="20">
        <v>17227</v>
      </c>
      <c r="J2" s="20">
        <v>26478</v>
      </c>
      <c r="K2" s="20">
        <v>10214</v>
      </c>
      <c r="L2" s="20">
        <v>2444</v>
      </c>
      <c r="M2" s="20">
        <v>5736</v>
      </c>
    </row>
    <row r="3" spans="1:13" x14ac:dyDescent="0.25">
      <c r="A3" s="21" t="s">
        <v>38</v>
      </c>
      <c r="B3" s="20">
        <v>12908</v>
      </c>
      <c r="C3" s="20">
        <v>3083</v>
      </c>
      <c r="D3" s="20">
        <v>24492</v>
      </c>
      <c r="E3" s="20">
        <v>5825</v>
      </c>
      <c r="F3" s="20">
        <v>1080</v>
      </c>
      <c r="G3" s="20">
        <v>2188</v>
      </c>
      <c r="H3" s="20">
        <v>11087</v>
      </c>
      <c r="I3" s="20">
        <v>15544</v>
      </c>
      <c r="J3" s="20">
        <v>7826</v>
      </c>
      <c r="K3" s="20">
        <v>4761</v>
      </c>
      <c r="L3" s="20">
        <v>10749</v>
      </c>
      <c r="M3" s="20">
        <v>26249</v>
      </c>
    </row>
    <row r="4" spans="1:13" x14ac:dyDescent="0.25">
      <c r="A4" s="21" t="s">
        <v>39</v>
      </c>
      <c r="B4" s="20">
        <v>6554</v>
      </c>
      <c r="C4" s="20">
        <v>14262</v>
      </c>
      <c r="D4" s="20">
        <v>8377</v>
      </c>
      <c r="E4" s="20">
        <v>24982</v>
      </c>
      <c r="F4" s="20">
        <v>12184</v>
      </c>
      <c r="G4" s="20">
        <v>6430</v>
      </c>
      <c r="H4" s="20">
        <v>21159</v>
      </c>
      <c r="I4" s="20">
        <v>18597</v>
      </c>
      <c r="J4" s="20">
        <v>17682</v>
      </c>
      <c r="K4" s="20">
        <v>5664</v>
      </c>
      <c r="L4" s="20">
        <v>10878</v>
      </c>
      <c r="M4" s="20">
        <v>23995</v>
      </c>
    </row>
    <row r="5" spans="1:13" x14ac:dyDescent="0.25">
      <c r="A5" s="21" t="s">
        <v>40</v>
      </c>
      <c r="B5" s="20">
        <v>28913</v>
      </c>
      <c r="C5" s="20">
        <v>1437</v>
      </c>
      <c r="D5" s="20">
        <v>20019</v>
      </c>
      <c r="E5" s="20">
        <v>13026</v>
      </c>
      <c r="F5" s="20">
        <v>26952</v>
      </c>
      <c r="G5" s="20">
        <v>27076</v>
      </c>
      <c r="H5" s="20">
        <v>7040</v>
      </c>
      <c r="I5" s="20">
        <v>10884</v>
      </c>
      <c r="J5" s="20">
        <v>16158</v>
      </c>
      <c r="K5" s="20">
        <v>16462</v>
      </c>
      <c r="L5" s="20">
        <v>5258</v>
      </c>
      <c r="M5" s="20">
        <v>1026</v>
      </c>
    </row>
    <row r="6" spans="1:13" x14ac:dyDescent="0.25">
      <c r="A6" s="21" t="s">
        <v>41</v>
      </c>
      <c r="B6" s="20">
        <v>4768</v>
      </c>
      <c r="C6" s="20">
        <v>7622</v>
      </c>
      <c r="D6" s="20">
        <v>28918</v>
      </c>
      <c r="E6" s="20">
        <v>27141</v>
      </c>
      <c r="F6" s="20">
        <v>3578</v>
      </c>
      <c r="G6" s="20">
        <v>10092</v>
      </c>
      <c r="H6" s="20">
        <v>15207</v>
      </c>
      <c r="I6" s="20">
        <v>12771</v>
      </c>
      <c r="J6" s="20">
        <v>6809</v>
      </c>
      <c r="K6" s="20">
        <v>11551</v>
      </c>
      <c r="L6" s="20">
        <v>3870</v>
      </c>
      <c r="M6" s="20">
        <v>14073</v>
      </c>
    </row>
    <row r="7" spans="1:13" x14ac:dyDescent="0.25">
      <c r="A7" s="21" t="s">
        <v>42</v>
      </c>
      <c r="B7" s="20">
        <v>13390</v>
      </c>
      <c r="C7" s="20">
        <v>3611</v>
      </c>
      <c r="D7" s="20">
        <v>6226</v>
      </c>
      <c r="E7" s="20">
        <v>27567</v>
      </c>
      <c r="F7" s="20">
        <v>29962</v>
      </c>
      <c r="G7" s="20">
        <v>2967</v>
      </c>
      <c r="H7" s="20">
        <v>5740</v>
      </c>
      <c r="I7" s="20">
        <v>2137</v>
      </c>
      <c r="J7" s="20">
        <v>10733</v>
      </c>
      <c r="K7" s="20">
        <v>2154</v>
      </c>
      <c r="L7" s="20">
        <v>28279</v>
      </c>
      <c r="M7" s="20">
        <v>29927</v>
      </c>
    </row>
    <row r="8" spans="1:13" x14ac:dyDescent="0.25">
      <c r="A8" s="21" t="s">
        <v>43</v>
      </c>
      <c r="B8" s="20">
        <v>17585</v>
      </c>
      <c r="C8" s="20">
        <v>28508</v>
      </c>
      <c r="D8" s="20">
        <v>9614</v>
      </c>
      <c r="E8" s="20">
        <v>17110</v>
      </c>
      <c r="F8" s="20">
        <v>12143</v>
      </c>
      <c r="G8" s="20">
        <v>7365</v>
      </c>
      <c r="H8" s="20">
        <v>24185</v>
      </c>
      <c r="I8" s="20">
        <v>1643</v>
      </c>
      <c r="J8" s="20">
        <v>3779</v>
      </c>
      <c r="K8" s="20">
        <v>25739</v>
      </c>
      <c r="L8" s="20">
        <v>28917</v>
      </c>
      <c r="M8" s="20">
        <v>11560</v>
      </c>
    </row>
    <row r="9" spans="1:13" x14ac:dyDescent="0.25">
      <c r="A9" s="21" t="s">
        <v>44</v>
      </c>
      <c r="B9" s="20">
        <v>22579</v>
      </c>
      <c r="C9" s="20">
        <v>16301</v>
      </c>
      <c r="D9" s="20">
        <v>6469</v>
      </c>
      <c r="E9" s="20">
        <v>22050</v>
      </c>
      <c r="F9" s="20">
        <v>8740</v>
      </c>
      <c r="G9" s="20">
        <v>18806</v>
      </c>
      <c r="H9" s="20">
        <v>3334</v>
      </c>
      <c r="I9" s="20">
        <v>3597</v>
      </c>
      <c r="J9" s="20">
        <v>11720</v>
      </c>
      <c r="K9" s="20">
        <v>27890</v>
      </c>
      <c r="L9" s="20">
        <v>21614</v>
      </c>
      <c r="M9" s="20">
        <v>23474</v>
      </c>
    </row>
    <row r="12" spans="1:13" x14ac:dyDescent="0.25">
      <c r="A12" s="22"/>
    </row>
    <row r="13" spans="1:13" x14ac:dyDescent="0.25">
      <c r="A13" s="22"/>
    </row>
    <row r="21" spans="5:5" x14ac:dyDescent="0.25">
      <c r="E21" t="s">
        <v>32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x14ac:dyDescent="0.25"/>
  <cols>
    <col min="1" max="1" width="16.42578125" bestFit="1" customWidth="1"/>
    <col min="2" max="2" width="8.42578125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s="2" t="s">
        <v>0</v>
      </c>
      <c r="B2" s="2" t="s">
        <v>13</v>
      </c>
    </row>
    <row r="3" spans="1:2" x14ac:dyDescent="0.25">
      <c r="A3" s="2" t="s">
        <v>1</v>
      </c>
      <c r="B3" s="2" t="s">
        <v>14</v>
      </c>
    </row>
    <row r="4" spans="1:2" x14ac:dyDescent="0.25">
      <c r="A4" s="2" t="s">
        <v>2</v>
      </c>
      <c r="B4" s="2" t="s">
        <v>15</v>
      </c>
    </row>
    <row r="5" spans="1:2" x14ac:dyDescent="0.25">
      <c r="A5" s="2" t="s">
        <v>3</v>
      </c>
      <c r="B5" s="2" t="s">
        <v>16</v>
      </c>
    </row>
    <row r="6" spans="1:2" x14ac:dyDescent="0.25">
      <c r="A6" s="2" t="s">
        <v>4</v>
      </c>
      <c r="B6" s="2" t="s">
        <v>17</v>
      </c>
    </row>
    <row r="7" spans="1:2" x14ac:dyDescent="0.25">
      <c r="A7" s="2" t="s">
        <v>5</v>
      </c>
      <c r="B7" s="2" t="s">
        <v>18</v>
      </c>
    </row>
    <row r="8" spans="1:2" x14ac:dyDescent="0.25">
      <c r="A8" s="2" t="s">
        <v>6</v>
      </c>
      <c r="B8" s="2" t="s">
        <v>19</v>
      </c>
    </row>
    <row r="9" spans="1:2" x14ac:dyDescent="0.25">
      <c r="A9" s="2" t="s">
        <v>7</v>
      </c>
      <c r="B9" s="2" t="s">
        <v>20</v>
      </c>
    </row>
    <row r="10" spans="1:2" x14ac:dyDescent="0.25">
      <c r="A10" s="2" t="s">
        <v>8</v>
      </c>
      <c r="B10" s="2" t="s">
        <v>21</v>
      </c>
    </row>
    <row r="11" spans="1:2" x14ac:dyDescent="0.25">
      <c r="A11" s="2" t="s">
        <v>9</v>
      </c>
      <c r="B11" s="2" t="s">
        <v>22</v>
      </c>
    </row>
    <row r="12" spans="1:2" x14ac:dyDescent="0.25">
      <c r="A12" s="2" t="s">
        <v>10</v>
      </c>
      <c r="B12" s="2" t="s">
        <v>23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cols>
    <col min="1" max="1" width="10" customWidth="1"/>
    <col min="2" max="2" width="10.5703125" customWidth="1"/>
  </cols>
  <sheetData>
    <row r="1" spans="1:2" x14ac:dyDescent="0.25">
      <c r="A1" s="23" t="s">
        <v>35</v>
      </c>
      <c r="B1" s="23" t="s">
        <v>61</v>
      </c>
    </row>
    <row r="2" spans="1:2" x14ac:dyDescent="0.25">
      <c r="A2" s="24" t="s">
        <v>37</v>
      </c>
      <c r="B2" s="25">
        <v>3.1</v>
      </c>
    </row>
    <row r="3" spans="1:2" x14ac:dyDescent="0.25">
      <c r="A3" s="24" t="s">
        <v>62</v>
      </c>
      <c r="B3" s="25">
        <v>1</v>
      </c>
    </row>
    <row r="4" spans="1:2" x14ac:dyDescent="0.25">
      <c r="A4" s="24" t="s">
        <v>63</v>
      </c>
      <c r="B4" s="25">
        <v>4.87</v>
      </c>
    </row>
    <row r="5" spans="1:2" x14ac:dyDescent="0.25">
      <c r="A5" s="24" t="s">
        <v>64</v>
      </c>
      <c r="B5" s="25">
        <v>3.45</v>
      </c>
    </row>
    <row r="6" spans="1:2" x14ac:dyDescent="0.25">
      <c r="A6" s="24" t="s">
        <v>65</v>
      </c>
      <c r="B6" s="25">
        <v>8.1199999999999992</v>
      </c>
    </row>
    <row r="7" spans="1:2" x14ac:dyDescent="0.25">
      <c r="A7" s="24" t="s">
        <v>39</v>
      </c>
      <c r="B7" s="25">
        <v>0.91</v>
      </c>
    </row>
    <row r="8" spans="1:2" x14ac:dyDescent="0.25">
      <c r="A8" t="s">
        <v>41</v>
      </c>
      <c r="B8" s="26">
        <v>1.1499999999999999</v>
      </c>
    </row>
    <row r="9" spans="1:2" x14ac:dyDescent="0.25">
      <c r="A9" t="s">
        <v>66</v>
      </c>
      <c r="B9" s="26">
        <v>6.52</v>
      </c>
    </row>
    <row r="10" spans="1:2" x14ac:dyDescent="0.25">
      <c r="A10" t="s">
        <v>67</v>
      </c>
      <c r="B10" s="26">
        <v>1.75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23</vt:i4>
      </vt:variant>
    </vt:vector>
  </HeadingPairs>
  <TitlesOfParts>
    <vt:vector size="31" baseType="lpstr">
      <vt:lpstr>VLOOKUP and SUM - examples</vt:lpstr>
      <vt:lpstr>Sum Vlookup</vt:lpstr>
      <vt:lpstr>VLOOKUP calculations</vt:lpstr>
      <vt:lpstr>Lookup and sum</vt:lpstr>
      <vt:lpstr>Vlookup and Sumif</vt:lpstr>
      <vt:lpstr>Monthly sales</vt:lpstr>
      <vt:lpstr>Lookup table</vt:lpstr>
      <vt:lpstr>Lookup table2</vt:lpstr>
      <vt:lpstr>Apples</vt:lpstr>
      <vt:lpstr>Apr</vt:lpstr>
      <vt:lpstr>Aug</vt:lpstr>
      <vt:lpstr>Dec</vt:lpstr>
      <vt:lpstr>Feb</vt:lpstr>
      <vt:lpstr>Grapefruit</vt:lpstr>
      <vt:lpstr>Jan</vt:lpstr>
      <vt:lpstr>Jul</vt:lpstr>
      <vt:lpstr>Jun</vt:lpstr>
      <vt:lpstr>Lemons</vt:lpstr>
      <vt:lpstr>Lime</vt:lpstr>
      <vt:lpstr>Mar</vt:lpstr>
      <vt:lpstr>May</vt:lpstr>
      <vt:lpstr>Nov</vt:lpstr>
      <vt:lpstr>Oct</vt:lpstr>
      <vt:lpstr>Oranges</vt:lpstr>
      <vt:lpstr>Peaches</vt:lpstr>
      <vt:lpstr>Pears</vt:lpstr>
      <vt:lpstr>Pineapples</vt:lpstr>
      <vt:lpstr>'Lookup table2'!price_fruits</vt:lpstr>
      <vt:lpstr>Prices</vt:lpstr>
      <vt:lpstr>Product</vt:lpstr>
      <vt:lpstr>Sep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hp</cp:lastModifiedBy>
  <dcterms:created xsi:type="dcterms:W3CDTF">2014-07-24T14:22:34Z</dcterms:created>
  <dcterms:modified xsi:type="dcterms:W3CDTF">2025-10-28T07:14:19Z</dcterms:modified>
</cp:coreProperties>
</file>