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m.Ushakov\Documents\examples\excel-tutorials-examples\"/>
    </mc:Choice>
  </mc:AlternateContent>
  <xr:revisionPtr revIDLastSave="0" documentId="13_ncr:1_{C05F9517-7498-443E-824E-CB14F55DA08B}" xr6:coauthVersionLast="45" xr6:coauthVersionMax="45" xr10:uidLastSave="{00000000-0000-0000-0000-000000000000}"/>
  <bookViews>
    <workbookView xWindow="-98" yWindow="-98" windowWidth="28996" windowHeight="15796" xr2:uid="{00000000-000D-0000-FFFF-FFFF00000000}"/>
  </bookViews>
  <sheets>
    <sheet name="IFERROR function - Examples" sheetId="38" r:id="rId1"/>
    <sheet name="IFERROR formulas" sheetId="2" r:id="rId2"/>
    <sheet name="IFERROR VLOOKUP" sheetId="4" r:id="rId3"/>
    <sheet name="Nested IFERROR" sheetId="3" r:id="rId4"/>
    <sheet name="IFERROR array formula" sheetId="31" r:id="rId5"/>
    <sheet name="IS ERROR VLOOKUP" sheetId="30" r:id="rId6"/>
    <sheet name="IFNA" sheetId="33" r:id="rId7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3" l="1"/>
  <c r="D4" i="33"/>
  <c r="D5" i="33"/>
  <c r="D6" i="33"/>
  <c r="F4" i="4"/>
  <c r="F5" i="4"/>
  <c r="F3" i="4"/>
  <c r="B10" i="3" l="1"/>
  <c r="C5" i="2"/>
  <c r="C6" i="2"/>
  <c r="C7" i="2"/>
  <c r="C4" i="2"/>
  <c r="G7" i="2"/>
  <c r="G6" i="2"/>
  <c r="G5" i="2"/>
  <c r="G4" i="2"/>
  <c r="H4" i="33" l="1"/>
  <c r="H5" i="33"/>
  <c r="H6" i="33"/>
  <c r="H3" i="33"/>
  <c r="G4" i="33"/>
  <c r="G5" i="33"/>
  <c r="G6" i="33"/>
  <c r="G3" i="33"/>
  <c r="E2" i="31" a="1"/>
  <c r="E2" i="31" s="1"/>
  <c r="E2" i="30" l="1"/>
</calcChain>
</file>

<file path=xl/sharedStrings.xml><?xml version="1.0" encoding="utf-8"?>
<sst xmlns="http://schemas.openxmlformats.org/spreadsheetml/2006/main" count="96" uniqueCount="44">
  <si>
    <t>Divisor</t>
  </si>
  <si>
    <t>Dividend</t>
  </si>
  <si>
    <t>Result</t>
  </si>
  <si>
    <t>N/A</t>
  </si>
  <si>
    <t xml:space="preserve"> </t>
  </si>
  <si>
    <t>Item</t>
  </si>
  <si>
    <t>Price</t>
  </si>
  <si>
    <t>Apples</t>
  </si>
  <si>
    <t>Oranges</t>
  </si>
  <si>
    <t>Lemons</t>
  </si>
  <si>
    <t>Qty. (kg)</t>
  </si>
  <si>
    <t>Grapes</t>
  </si>
  <si>
    <t>Order ID</t>
  </si>
  <si>
    <t>Amount</t>
  </si>
  <si>
    <t>Peach</t>
  </si>
  <si>
    <t>Total</t>
  </si>
  <si>
    <t>Total Qty.</t>
  </si>
  <si>
    <t>Qty.</t>
  </si>
  <si>
    <t>Peaches</t>
  </si>
  <si>
    <t>Qty. (IFNA)</t>
  </si>
  <si>
    <t>Qty. (IF ISNA)</t>
  </si>
  <si>
    <t>If error, return blank cell</t>
  </si>
  <si>
    <t>If error, show a message</t>
  </si>
  <si>
    <t>Lookup table 1</t>
  </si>
  <si>
    <t>Lookup table 2</t>
  </si>
  <si>
    <t>Lookup table 3</t>
  </si>
  <si>
    <t>Order Id</t>
  </si>
  <si>
    <t>Lookup table</t>
  </si>
  <si>
    <t>Main table</t>
  </si>
  <si>
    <t>Author</t>
  </si>
  <si>
    <t>Last update</t>
  </si>
  <si>
    <t>Tutorial URL</t>
  </si>
  <si>
    <t>The workbook shows how to use the IFERROR function in Excel to catch errors in formulas and replace them with a blank cell, another value or a custom message.</t>
  </si>
  <si>
    <t>IFERROR formulas</t>
  </si>
  <si>
    <t>IFERROR with Vlookup</t>
  </si>
  <si>
    <t>Nested IFERROR for sequential Vlookups</t>
  </si>
  <si>
    <t>IFERROR in an array formula</t>
  </si>
  <si>
    <t>If ISERROR with Vlookup</t>
  </si>
  <si>
    <t>IFNA function</t>
  </si>
  <si>
    <t>Sample Workbook to Excel IFERROR Function</t>
  </si>
  <si>
    <t>Ablebits.com</t>
  </si>
  <si>
    <t>Excel IFERROR function with formula examples</t>
  </si>
  <si>
    <t>Examples:</t>
  </si>
  <si>
    <t xml:space="preserve">•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</si>
</sst>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&quot;$&quot;#,##0"/>
    <numFmt numFmtId="166" formatCode="[$-409]d\-mmm\-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27"/>
      <color theme="1" tint="0.249977111117893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charset val="204"/>
      <scheme val="minor"/>
    </font>
    <font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6" tint="-0.24994659260841701"/>
      </left>
      <right/>
      <top style="thin">
        <color theme="6" tint="-0.24994659260841701"/>
      </top>
      <bottom/>
      <diagonal/>
    </border>
    <border>
      <left/>
      <right style="thin">
        <color theme="6" tint="-0.24994659260841701"/>
      </right>
      <top style="thin">
        <color theme="6" tint="-0.24994659260841701"/>
      </top>
      <bottom/>
      <diagonal/>
    </border>
    <border>
      <left style="thin">
        <color theme="6" tint="-0.24994659260841701"/>
      </left>
      <right/>
      <top/>
      <bottom style="thin">
        <color theme="6" tint="-0.24994659260841701"/>
      </bottom>
      <diagonal/>
    </border>
    <border>
      <left/>
      <right style="thin">
        <color theme="6" tint="-0.24994659260841701"/>
      </right>
      <top/>
      <bottom style="thin">
        <color theme="6" tint="-0.24994659260841701"/>
      </bottom>
      <diagonal/>
    </border>
  </borders>
  <cellStyleXfs count="3">
    <xf numFmtId="0" fontId="0" fillId="0" borderId="0"/>
    <xf numFmtId="0" fontId="3" fillId="0" borderId="0"/>
    <xf numFmtId="0" fontId="5" fillId="0" borderId="0" applyNumberFormat="0" applyFill="0" applyBorder="0" applyAlignment="0" applyProtection="0"/>
  </cellStyleXfs>
  <cellXfs count="27">
    <xf numFmtId="0" fontId="0" fillId="0" borderId="0" xfId="0"/>
    <xf numFmtId="0" fontId="2" fillId="2" borderId="0" xfId="0" applyFont="1" applyFill="1"/>
    <xf numFmtId="164" fontId="0" fillId="0" borderId="0" xfId="0" applyNumberFormat="1"/>
    <xf numFmtId="165" fontId="0" fillId="0" borderId="0" xfId="0" applyNumberFormat="1"/>
    <xf numFmtId="0" fontId="2" fillId="0" borderId="1" xfId="0" applyFont="1" applyBorder="1"/>
    <xf numFmtId="0" fontId="2" fillId="0" borderId="2" xfId="0" applyFont="1" applyBorder="1"/>
    <xf numFmtId="164" fontId="0" fillId="0" borderId="3" xfId="0" applyNumberFormat="1" applyFont="1" applyBorder="1"/>
    <xf numFmtId="0" fontId="0" fillId="0" borderId="4" xfId="0" applyBorder="1"/>
    <xf numFmtId="0" fontId="2" fillId="0" borderId="0" xfId="0" applyFont="1"/>
    <xf numFmtId="0" fontId="0" fillId="0" borderId="5" xfId="0" applyBorder="1"/>
    <xf numFmtId="0" fontId="0" fillId="0" borderId="6" xfId="0" applyNumberFormat="1" applyBorder="1"/>
    <xf numFmtId="0" fontId="0" fillId="0" borderId="7" xfId="0" applyBorder="1"/>
    <xf numFmtId="165" fontId="0" fillId="0" borderId="8" xfId="0" applyNumberFormat="1" applyBorder="1"/>
    <xf numFmtId="0" fontId="0" fillId="0" borderId="0" xfId="0" applyAlignment="1">
      <alignment horizontal="center"/>
    </xf>
    <xf numFmtId="0" fontId="3" fillId="3" borderId="0" xfId="1" applyFill="1"/>
    <xf numFmtId="0" fontId="4" fillId="3" borderId="0" xfId="1" applyFont="1" applyFill="1" applyAlignment="1">
      <alignment horizontal="left"/>
    </xf>
    <xf numFmtId="0" fontId="3" fillId="3" borderId="0" xfId="1" applyFill="1" applyAlignment="1">
      <alignment vertical="top" wrapText="1"/>
    </xf>
    <xf numFmtId="0" fontId="3" fillId="3" borderId="0" xfId="1" applyFill="1" applyAlignment="1">
      <alignment horizontal="left"/>
    </xf>
    <xf numFmtId="0" fontId="6" fillId="3" borderId="0" xfId="2" applyFont="1" applyFill="1"/>
    <xf numFmtId="166" fontId="3" fillId="3" borderId="0" xfId="1" applyNumberFormat="1" applyFill="1" applyAlignment="1">
      <alignment horizontal="left"/>
    </xf>
    <xf numFmtId="0" fontId="7" fillId="0" borderId="0" xfId="2" applyFont="1" applyAlignment="1">
      <alignment horizontal="left"/>
    </xf>
    <xf numFmtId="0" fontId="7" fillId="0" borderId="0" xfId="2" applyFont="1" applyAlignment="1"/>
    <xf numFmtId="0" fontId="1" fillId="3" borderId="0" xfId="1" applyFont="1" applyFill="1" applyAlignment="1">
      <alignment vertical="top"/>
    </xf>
    <xf numFmtId="0" fontId="3" fillId="3" borderId="0" xfId="1" applyFill="1" applyAlignment="1">
      <alignment vertical="top"/>
    </xf>
    <xf numFmtId="0" fontId="3" fillId="3" borderId="0" xfId="1" applyFill="1" applyAlignment="1">
      <alignment horizontal="right"/>
    </xf>
    <xf numFmtId="0" fontId="3" fillId="0" borderId="0" xfId="1"/>
    <xf numFmtId="0" fontId="7" fillId="3" borderId="0" xfId="2" applyFont="1" applyFill="1" applyAlignment="1" applyProtection="1">
      <alignment horizontal="left"/>
    </xf>
  </cellXfs>
  <cellStyles count="3">
    <cellStyle name="Hyperlink 3" xfId="2" xr:uid="{5954682C-5CA9-42EB-8971-314224BB9912}"/>
    <cellStyle name="Normal" xfId="0" builtinId="0"/>
    <cellStyle name="Normal 3" xfId="1" xr:uid="{8AEB1F22-C3AD-4B31-8111-1133D40B7E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https://www.ablebits.com" TargetMode="External"/><Relationship Id="rId6" Type="http://schemas.openxmlformats.org/officeDocument/2006/relationships/image" Target="../media/image4.svg"/><Relationship Id="rId5" Type="http://schemas.openxmlformats.org/officeDocument/2006/relationships/image" Target="../media/image3.png"/><Relationship Id="rId4" Type="http://schemas.openxmlformats.org/officeDocument/2006/relationships/hyperlink" Target="https://www.ablebits.com/excel-suite/index-2020.php?visitfrom=xls-book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178040</xdr:colOff>
      <xdr:row>1</xdr:row>
      <xdr:rowOff>180022</xdr:rowOff>
    </xdr:to>
    <xdr:pic>
      <xdr:nvPicPr>
        <xdr:cNvPr id="2" name="Рисунок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D4EDB5-FE07-437C-B27C-2817EC627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335280" y="251460"/>
          <a:ext cx="1301990" cy="18478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17</xdr:row>
      <xdr:rowOff>161925</xdr:rowOff>
    </xdr:from>
    <xdr:to>
      <xdr:col>2</xdr:col>
      <xdr:colOff>5012967</xdr:colOff>
      <xdr:row>23</xdr:row>
      <xdr:rowOff>80918</xdr:rowOff>
    </xdr:to>
    <xdr:pic>
      <xdr:nvPicPr>
        <xdr:cNvPr id="3" name="Рисунок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75AB6EF-0995-4203-B70B-214084A8A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42900" y="4579620"/>
          <a:ext cx="6103579" cy="1004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blebits.com/office-addins-blog/2017/09/27/excel-iferror-function-with-formula-examples/" TargetMode="External"/><Relationship Id="rId1" Type="http://schemas.openxmlformats.org/officeDocument/2006/relationships/hyperlink" Target="https://www.ablebits.com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0"/>
  <sheetViews>
    <sheetView showGridLines="0" tabSelected="1" workbookViewId="0">
      <selection activeCell="B4" sqref="B4:C4"/>
    </sheetView>
  </sheetViews>
  <sheetFormatPr defaultColWidth="9.1328125" defaultRowHeight="14.25" x14ac:dyDescent="0.45"/>
  <cols>
    <col min="1" max="1" width="4.73046875" style="14" customWidth="1"/>
    <col min="2" max="2" width="15.73046875" style="14" customWidth="1"/>
    <col min="3" max="3" width="75.59765625" style="14" customWidth="1"/>
    <col min="4" max="16384" width="9.1328125" style="14"/>
  </cols>
  <sheetData>
    <row r="2" spans="1:7" ht="19.149999999999999" customHeight="1" x14ac:dyDescent="0.45"/>
    <row r="3" spans="1:7" ht="15" customHeight="1" x14ac:dyDescent="0.45"/>
    <row r="4" spans="1:7" ht="34.5" x14ac:dyDescent="1">
      <c r="B4" s="15" t="s">
        <v>39</v>
      </c>
      <c r="C4" s="15"/>
    </row>
    <row r="6" spans="1:7" ht="50.65" customHeight="1" x14ac:dyDescent="0.45">
      <c r="B6" s="16" t="s">
        <v>32</v>
      </c>
      <c r="C6" s="16"/>
    </row>
    <row r="7" spans="1:7" x14ac:dyDescent="0.45">
      <c r="B7" s="17" t="s">
        <v>29</v>
      </c>
      <c r="C7" s="18" t="s">
        <v>40</v>
      </c>
    </row>
    <row r="8" spans="1:7" x14ac:dyDescent="0.45">
      <c r="B8" s="17" t="s">
        <v>30</v>
      </c>
      <c r="C8" s="19">
        <v>43000</v>
      </c>
    </row>
    <row r="9" spans="1:7" x14ac:dyDescent="0.45">
      <c r="B9" s="17" t="s">
        <v>31</v>
      </c>
      <c r="C9" s="20" t="s">
        <v>41</v>
      </c>
      <c r="D9" s="21"/>
      <c r="E9" s="21"/>
      <c r="F9" s="21"/>
      <c r="G9" s="21"/>
    </row>
    <row r="10" spans="1:7" x14ac:dyDescent="0.45">
      <c r="B10" s="17"/>
      <c r="C10" s="18"/>
    </row>
    <row r="11" spans="1:7" x14ac:dyDescent="0.45">
      <c r="B11" s="22" t="s">
        <v>42</v>
      </c>
      <c r="C11" s="23"/>
    </row>
    <row r="12" spans="1:7" x14ac:dyDescent="0.45">
      <c r="A12" s="24" t="s">
        <v>43</v>
      </c>
      <c r="B12" s="26" t="s">
        <v>33</v>
      </c>
      <c r="C12" s="26"/>
    </row>
    <row r="13" spans="1:7" x14ac:dyDescent="0.45">
      <c r="A13" s="24" t="s">
        <v>43</v>
      </c>
      <c r="B13" s="26" t="s">
        <v>34</v>
      </c>
      <c r="C13" s="26"/>
    </row>
    <row r="14" spans="1:7" x14ac:dyDescent="0.45">
      <c r="A14" s="24" t="s">
        <v>43</v>
      </c>
      <c r="B14" s="26" t="s">
        <v>35</v>
      </c>
      <c r="C14" s="26"/>
    </row>
    <row r="15" spans="1:7" x14ac:dyDescent="0.45">
      <c r="A15" s="24" t="s">
        <v>43</v>
      </c>
      <c r="B15" s="26" t="s">
        <v>36</v>
      </c>
      <c r="C15" s="26"/>
    </row>
    <row r="16" spans="1:7" x14ac:dyDescent="0.45">
      <c r="A16" s="24" t="s">
        <v>43</v>
      </c>
      <c r="B16" s="26" t="s">
        <v>37</v>
      </c>
      <c r="C16" s="26"/>
    </row>
    <row r="17" spans="1:7" x14ac:dyDescent="0.45">
      <c r="A17" s="24" t="s">
        <v>43</v>
      </c>
      <c r="B17" s="26" t="s">
        <v>38</v>
      </c>
      <c r="C17" s="26"/>
    </row>
    <row r="18" spans="1:7" s="25" customFormat="1" x14ac:dyDescent="0.45"/>
    <row r="20" spans="1:7" x14ac:dyDescent="0.45">
      <c r="G20" s="14" t="s">
        <v>4</v>
      </c>
    </row>
  </sheetData>
  <mergeCells count="8">
    <mergeCell ref="B13:C13"/>
    <mergeCell ref="B14:C14"/>
    <mergeCell ref="B15:C15"/>
    <mergeCell ref="B16:C16"/>
    <mergeCell ref="B17:C17"/>
    <mergeCell ref="B4:C4"/>
    <mergeCell ref="B6:C6"/>
    <mergeCell ref="B12:C12"/>
  </mergeCells>
  <hyperlinks>
    <hyperlink ref="C7" r:id="rId1" display="https://www.Ablebits.com" xr:uid="{4AF5365E-E6F3-48D6-B123-C015BA616B4F}"/>
    <hyperlink ref="B13" location="'Vlookup multiple criteria'!A1" display="Vlookup multiple criteria" xr:uid="{15FEE811-FD0D-404A-9504-E10ABA0F291C}"/>
    <hyperlink ref="B14" location="'Vlookup Nth instance'!A1" display="Vlookup and return Nth match" xr:uid="{9087B7EE-75B1-45D0-89EE-986C0A4AE017}"/>
    <hyperlink ref="B15" location="'Vlookup 2nd instance'!A1" display="Vlookup and return 2nd instance" xr:uid="{E296FB2B-D325-49C2-A317-3C87A707C4B6}"/>
    <hyperlink ref="B16" location="'Compare columns for match'!A1" display="Compare two columns for matches" xr:uid="{1A014DFB-A375-4F89-940C-0CCB2859A710}"/>
    <hyperlink ref="B12" location="'Vlookup 2 values'!A1" display="Vlookup based on two values" xr:uid="{C48FEA05-12E2-473F-BED1-ECD87B88AFDE}"/>
    <hyperlink ref="B16:C16" location="'IS ERROR VLOOKUP'!A1" display="If ISERROR with Vlookup" xr:uid="{79E540A0-DFB8-4AD5-8DBF-DCEA4D22C44B}"/>
    <hyperlink ref="B17" location="'Compare columns for match'!A1" display="Compare two columns for matches" xr:uid="{173E5B7D-1742-4497-8A20-74473081C323}"/>
    <hyperlink ref="B17:C17" location="IFNA!A1" display="IFNA function" xr:uid="{D8FE37F2-B27F-4D75-87BA-0B78AB60432A}"/>
    <hyperlink ref="C9" r:id="rId2" xr:uid="{3BB651C9-E882-4992-818D-A0FB13FA9074}"/>
    <hyperlink ref="B12:C12" location="'IFERROR formulas'!A1" display="IFERROR formulas" xr:uid="{ABED857D-5F9B-4898-99C5-7DE1C19391EB}"/>
    <hyperlink ref="B13:C13" location="'IFERROR VLOOKUP'!A1" display="IFERROR with Vlookup" xr:uid="{5E3D7709-53EB-44EA-863A-0DB7A29E1E04}"/>
    <hyperlink ref="B14:C14" location="'Nested IFERROR'!A1" display="Nested IFERROR for sequential Vlookups" xr:uid="{0D01AAF0-4165-4A06-A38B-17FCC20CC96F}"/>
    <hyperlink ref="B15:C15" location="'IFERROR array formula'!A1" display="IFERROR in an array formula" xr:uid="{17181881-0D77-4162-B999-92236EA8A6A4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6"/>
  <sheetViews>
    <sheetView workbookViewId="0"/>
  </sheetViews>
  <sheetFormatPr defaultRowHeight="14.25" x14ac:dyDescent="0.45"/>
  <cols>
    <col min="1" max="1" width="10.59765625" customWidth="1"/>
    <col min="3" max="3" width="10.265625" customWidth="1"/>
    <col min="7" max="7" width="17.73046875" bestFit="1" customWidth="1"/>
  </cols>
  <sheetData>
    <row r="1" spans="1:7" x14ac:dyDescent="0.45">
      <c r="A1" t="s">
        <v>21</v>
      </c>
      <c r="E1" t="s">
        <v>22</v>
      </c>
    </row>
    <row r="3" spans="1:7" x14ac:dyDescent="0.45">
      <c r="A3" s="1" t="s">
        <v>1</v>
      </c>
      <c r="B3" s="1" t="s">
        <v>0</v>
      </c>
      <c r="C3" s="1" t="s">
        <v>2</v>
      </c>
      <c r="E3" s="1" t="s">
        <v>1</v>
      </c>
      <c r="F3" s="1" t="s">
        <v>0</v>
      </c>
      <c r="G3" s="1" t="s">
        <v>2</v>
      </c>
    </row>
    <row r="4" spans="1:7" x14ac:dyDescent="0.45">
      <c r="A4">
        <v>10</v>
      </c>
      <c r="B4">
        <v>5</v>
      </c>
      <c r="C4">
        <f>IFERROR(A4/B4, "")</f>
        <v>2</v>
      </c>
      <c r="E4">
        <v>10</v>
      </c>
      <c r="F4">
        <v>5</v>
      </c>
      <c r="G4">
        <f>IFERROR(E4/F4, "Error in calculation")</f>
        <v>2</v>
      </c>
    </row>
    <row r="5" spans="1:7" x14ac:dyDescent="0.45">
      <c r="A5">
        <v>10</v>
      </c>
      <c r="B5">
        <v>0</v>
      </c>
      <c r="C5" t="str">
        <f t="shared" ref="C5:C7" si="0">IFERROR(A5/B5, "")</f>
        <v/>
      </c>
      <c r="E5">
        <v>10</v>
      </c>
      <c r="F5">
        <v>0</v>
      </c>
      <c r="G5" t="str">
        <f>IFERROR(E5/F5, "Error in calculation")</f>
        <v>Error in calculation</v>
      </c>
    </row>
    <row r="6" spans="1:7" x14ac:dyDescent="0.45">
      <c r="A6" t="s">
        <v>3</v>
      </c>
      <c r="B6">
        <v>5</v>
      </c>
      <c r="C6" t="str">
        <f t="shared" si="0"/>
        <v/>
      </c>
      <c r="E6" t="s">
        <v>3</v>
      </c>
      <c r="F6">
        <v>5</v>
      </c>
      <c r="G6" t="str">
        <f>IFERROR(E6/F6, "Error in calculation")</f>
        <v>Error in calculation</v>
      </c>
    </row>
    <row r="7" spans="1:7" x14ac:dyDescent="0.45">
      <c r="A7">
        <v>10</v>
      </c>
      <c r="C7" t="str">
        <f t="shared" si="0"/>
        <v/>
      </c>
      <c r="E7">
        <v>10</v>
      </c>
      <c r="G7" t="str">
        <f>IFERROR(E7/F7, "Error in calculation")</f>
        <v>Error in calculation</v>
      </c>
    </row>
    <row r="22" spans="13:13" x14ac:dyDescent="0.45">
      <c r="M22" t="s">
        <v>4</v>
      </c>
    </row>
    <row r="36" spans="25:25" x14ac:dyDescent="0.45">
      <c r="Y36" t="s">
        <v>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selection sqref="A1:B1"/>
    </sheetView>
  </sheetViews>
  <sheetFormatPr defaultRowHeight="14.25" x14ac:dyDescent="0.45"/>
  <cols>
    <col min="6" max="6" width="10.3984375" customWidth="1"/>
  </cols>
  <sheetData>
    <row r="1" spans="1:6" x14ac:dyDescent="0.45">
      <c r="A1" s="13" t="s">
        <v>27</v>
      </c>
      <c r="B1" s="13"/>
      <c r="D1" s="13" t="s">
        <v>28</v>
      </c>
      <c r="E1" s="13"/>
      <c r="F1" s="13"/>
    </row>
    <row r="2" spans="1:6" x14ac:dyDescent="0.45">
      <c r="A2" s="1" t="s">
        <v>5</v>
      </c>
      <c r="B2" s="1" t="s">
        <v>10</v>
      </c>
      <c r="D2" s="1" t="s">
        <v>5</v>
      </c>
      <c r="E2" s="1" t="s">
        <v>6</v>
      </c>
      <c r="F2" s="1" t="s">
        <v>10</v>
      </c>
    </row>
    <row r="3" spans="1:6" x14ac:dyDescent="0.45">
      <c r="A3" t="s">
        <v>8</v>
      </c>
      <c r="B3">
        <v>10</v>
      </c>
      <c r="D3" t="s">
        <v>7</v>
      </c>
      <c r="E3" s="2">
        <v>2</v>
      </c>
      <c r="F3" t="str">
        <f>IFERROR(VLOOKUP(D3, $A$3:$B$5, 2,FALSE), "Not found")</f>
        <v>Not found</v>
      </c>
    </row>
    <row r="4" spans="1:6" x14ac:dyDescent="0.45">
      <c r="A4" t="s">
        <v>9</v>
      </c>
      <c r="B4">
        <v>15</v>
      </c>
      <c r="D4" t="s">
        <v>8</v>
      </c>
      <c r="E4" s="2">
        <v>1.9</v>
      </c>
      <c r="F4">
        <f t="shared" ref="F4:F5" si="0">IFERROR(VLOOKUP(D4, $A$3:$B$5, 2,FALSE), "Not found")</f>
        <v>10</v>
      </c>
    </row>
    <row r="5" spans="1:6" x14ac:dyDescent="0.45">
      <c r="A5" t="s">
        <v>11</v>
      </c>
      <c r="B5">
        <v>12</v>
      </c>
      <c r="D5" t="s">
        <v>9</v>
      </c>
      <c r="E5" s="2">
        <v>2.5</v>
      </c>
      <c r="F5">
        <f t="shared" si="0"/>
        <v>15</v>
      </c>
    </row>
  </sheetData>
  <mergeCells count="2">
    <mergeCell ref="A1:B1"/>
    <mergeCell ref="D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3"/>
  <sheetViews>
    <sheetView workbookViewId="0">
      <selection sqref="A1:B1"/>
    </sheetView>
  </sheetViews>
  <sheetFormatPr defaultRowHeight="14.25" x14ac:dyDescent="0.45"/>
  <sheetData>
    <row r="1" spans="1:8" x14ac:dyDescent="0.45">
      <c r="A1" s="13" t="s">
        <v>23</v>
      </c>
      <c r="B1" s="13"/>
      <c r="D1" s="13" t="s">
        <v>24</v>
      </c>
      <c r="E1" s="13"/>
      <c r="G1" s="13" t="s">
        <v>25</v>
      </c>
      <c r="H1" s="13"/>
    </row>
    <row r="2" spans="1:8" x14ac:dyDescent="0.45">
      <c r="A2" s="1" t="s">
        <v>12</v>
      </c>
      <c r="B2" s="1" t="s">
        <v>13</v>
      </c>
      <c r="D2" s="1" t="s">
        <v>12</v>
      </c>
      <c r="E2" s="1" t="s">
        <v>13</v>
      </c>
      <c r="G2" s="1" t="s">
        <v>12</v>
      </c>
      <c r="H2" s="1" t="s">
        <v>13</v>
      </c>
    </row>
    <row r="3" spans="1:8" x14ac:dyDescent="0.45">
      <c r="A3">
        <v>1001</v>
      </c>
      <c r="B3" s="3">
        <v>100</v>
      </c>
      <c r="D3">
        <v>1005</v>
      </c>
      <c r="E3" s="3">
        <v>150</v>
      </c>
      <c r="G3">
        <v>1009</v>
      </c>
      <c r="H3" s="3">
        <v>160</v>
      </c>
    </row>
    <row r="4" spans="1:8" x14ac:dyDescent="0.45">
      <c r="A4">
        <v>1002</v>
      </c>
      <c r="B4" s="3">
        <v>150</v>
      </c>
      <c r="D4">
        <v>1006</v>
      </c>
      <c r="E4" s="3">
        <v>150</v>
      </c>
      <c r="G4">
        <v>1010</v>
      </c>
      <c r="H4" s="3">
        <v>350</v>
      </c>
    </row>
    <row r="5" spans="1:8" x14ac:dyDescent="0.45">
      <c r="A5">
        <v>1003</v>
      </c>
      <c r="B5" s="3">
        <v>220</v>
      </c>
      <c r="C5" t="s">
        <v>4</v>
      </c>
      <c r="D5">
        <v>1007</v>
      </c>
      <c r="E5" s="3">
        <v>340</v>
      </c>
      <c r="G5">
        <v>1011</v>
      </c>
      <c r="H5" s="3">
        <v>180</v>
      </c>
    </row>
    <row r="6" spans="1:8" x14ac:dyDescent="0.45">
      <c r="A6">
        <v>1004</v>
      </c>
      <c r="B6" s="3">
        <v>230</v>
      </c>
      <c r="D6">
        <v>1008</v>
      </c>
      <c r="E6" s="3">
        <v>210</v>
      </c>
      <c r="G6">
        <v>1012</v>
      </c>
      <c r="H6" s="3">
        <v>320</v>
      </c>
    </row>
    <row r="9" spans="1:8" x14ac:dyDescent="0.45">
      <c r="A9" s="9" t="s">
        <v>26</v>
      </c>
      <c r="B9" s="10">
        <v>1007</v>
      </c>
    </row>
    <row r="10" spans="1:8" x14ac:dyDescent="0.45">
      <c r="A10" s="11" t="s">
        <v>13</v>
      </c>
      <c r="B10" s="12">
        <f>IFERROR(VLOOKUP(B9,A3:B6,2,0),IFERROR(VLOOKUP(B9,D3:E6,2,0),IFERROR(VLOOKUP(B9,G3:H6,2,0),"not found")))</f>
        <v>340</v>
      </c>
    </row>
    <row r="29" spans="21:21" x14ac:dyDescent="0.45">
      <c r="U29" t="s">
        <v>4</v>
      </c>
    </row>
    <row r="33" spans="22:22" x14ac:dyDescent="0.45">
      <c r="V33" t="s">
        <v>4</v>
      </c>
    </row>
  </sheetData>
  <mergeCells count="3">
    <mergeCell ref="A1:B1"/>
    <mergeCell ref="D1:E1"/>
    <mergeCell ref="G1:H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zoomScaleNormal="100" workbookViewId="0"/>
  </sheetViews>
  <sheetFormatPr defaultRowHeight="14.25" x14ac:dyDescent="0.45"/>
  <cols>
    <col min="5" max="5" width="10.3984375" customWidth="1"/>
  </cols>
  <sheetData>
    <row r="1" spans="1:5" x14ac:dyDescent="0.45">
      <c r="B1" s="1" t="s">
        <v>15</v>
      </c>
      <c r="C1" s="1" t="s">
        <v>6</v>
      </c>
      <c r="E1" s="8" t="s">
        <v>16</v>
      </c>
    </row>
    <row r="2" spans="1:5" x14ac:dyDescent="0.45">
      <c r="A2" t="s">
        <v>7</v>
      </c>
      <c r="B2" s="3">
        <v>100</v>
      </c>
      <c r="C2" s="3">
        <v>2</v>
      </c>
      <c r="E2">
        <f t="array" ref="E2">SUM(IFERROR($B$2:$B$4/$C$2:$C$4,0))</f>
        <v>90</v>
      </c>
    </row>
    <row r="3" spans="1:5" x14ac:dyDescent="0.45">
      <c r="A3" t="s">
        <v>8</v>
      </c>
      <c r="B3" s="3">
        <v>200</v>
      </c>
      <c r="C3" s="3">
        <v>5</v>
      </c>
    </row>
    <row r="4" spans="1:5" x14ac:dyDescent="0.45">
      <c r="A4" t="s">
        <v>9</v>
      </c>
      <c r="B4">
        <v>0</v>
      </c>
      <c r="C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32"/>
  <sheetViews>
    <sheetView workbookViewId="0"/>
  </sheetViews>
  <sheetFormatPr defaultRowHeight="14.25" x14ac:dyDescent="0.45"/>
  <cols>
    <col min="1" max="1" width="9.59765625" customWidth="1"/>
    <col min="2" max="4" width="10.59765625" customWidth="1"/>
    <col min="5" max="5" width="12" customWidth="1"/>
  </cols>
  <sheetData>
    <row r="1" spans="1:9" x14ac:dyDescent="0.45">
      <c r="A1" s="1" t="s">
        <v>5</v>
      </c>
      <c r="B1" s="1" t="s">
        <v>6</v>
      </c>
      <c r="D1" s="4" t="s">
        <v>5</v>
      </c>
      <c r="E1" s="5" t="s">
        <v>6</v>
      </c>
    </row>
    <row r="2" spans="1:9" x14ac:dyDescent="0.45">
      <c r="A2" t="s">
        <v>7</v>
      </c>
      <c r="B2" s="2">
        <v>2</v>
      </c>
      <c r="C2" s="2"/>
      <c r="D2" s="6" t="s">
        <v>14</v>
      </c>
      <c r="E2" s="7" t="str">
        <f>IF(ISERROR(VLOOKUP(D2, A2:B5,2,FALSE)),"Not found", VLOOKUP(D2, A2:B5,2,FALSE ))</f>
        <v>Not found</v>
      </c>
    </row>
    <row r="3" spans="1:9" x14ac:dyDescent="0.45">
      <c r="A3" t="s">
        <v>8</v>
      </c>
      <c r="B3" s="2">
        <v>1.9</v>
      </c>
      <c r="C3" s="2"/>
      <c r="D3" s="2"/>
    </row>
    <row r="4" spans="1:9" x14ac:dyDescent="0.45">
      <c r="A4" t="s">
        <v>9</v>
      </c>
      <c r="B4" s="2">
        <v>2.5</v>
      </c>
      <c r="C4" s="2"/>
      <c r="D4" s="2"/>
      <c r="I4" t="s">
        <v>4</v>
      </c>
    </row>
    <row r="5" spans="1:9" x14ac:dyDescent="0.45">
      <c r="A5" t="s">
        <v>11</v>
      </c>
      <c r="B5" s="2">
        <v>1.99</v>
      </c>
    </row>
    <row r="28" spans="28:29" x14ac:dyDescent="0.45">
      <c r="AB28" t="s">
        <v>4</v>
      </c>
    </row>
    <row r="32" spans="28:29" x14ac:dyDescent="0.45">
      <c r="AC32" t="s">
        <v>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7"/>
  <sheetViews>
    <sheetView workbookViewId="0">
      <selection sqref="A1:D1"/>
    </sheetView>
  </sheetViews>
  <sheetFormatPr defaultRowHeight="14.25" x14ac:dyDescent="0.45"/>
  <cols>
    <col min="2" max="2" width="8.265625" customWidth="1"/>
    <col min="3" max="4" width="7.86328125" customWidth="1"/>
    <col min="7" max="7" width="10.86328125" bestFit="1" customWidth="1"/>
    <col min="8" max="8" width="12.86328125" bestFit="1" customWidth="1"/>
  </cols>
  <sheetData>
    <row r="1" spans="1:8" x14ac:dyDescent="0.45">
      <c r="A1" s="13" t="s">
        <v>27</v>
      </c>
      <c r="B1" s="13"/>
      <c r="C1" s="13"/>
      <c r="D1" s="13"/>
      <c r="F1" s="13" t="s">
        <v>28</v>
      </c>
      <c r="G1" s="13"/>
      <c r="H1" s="13"/>
    </row>
    <row r="2" spans="1:8" x14ac:dyDescent="0.45">
      <c r="A2" s="1" t="s">
        <v>5</v>
      </c>
      <c r="B2" s="1" t="s">
        <v>15</v>
      </c>
      <c r="C2" s="1" t="s">
        <v>6</v>
      </c>
      <c r="D2" s="1" t="s">
        <v>17</v>
      </c>
      <c r="F2" s="1" t="s">
        <v>5</v>
      </c>
      <c r="G2" s="1" t="s">
        <v>19</v>
      </c>
      <c r="H2" s="1" t="s">
        <v>20</v>
      </c>
    </row>
    <row r="3" spans="1:8" x14ac:dyDescent="0.45">
      <c r="A3" t="s">
        <v>7</v>
      </c>
      <c r="B3" s="3">
        <v>100</v>
      </c>
      <c r="C3" s="3">
        <v>2</v>
      </c>
      <c r="D3">
        <f>B3/C3</f>
        <v>50</v>
      </c>
      <c r="F3" t="s">
        <v>7</v>
      </c>
      <c r="G3">
        <f>_xlfn.IFNA(VLOOKUP(F3, $A$3:$D$6, 4,FALSE), "Not found")</f>
        <v>50</v>
      </c>
      <c r="H3">
        <f>IF(ISNA(VLOOKUP(F3, $A$3:$D$6, 4,FALSE)),"Not found", VLOOKUP(F3, $A$3:$D$6, 4,FALSE))</f>
        <v>50</v>
      </c>
    </row>
    <row r="4" spans="1:8" x14ac:dyDescent="0.45">
      <c r="A4" t="s">
        <v>8</v>
      </c>
      <c r="B4" s="3">
        <v>200</v>
      </c>
      <c r="C4" s="3">
        <v>5</v>
      </c>
      <c r="D4">
        <f t="shared" ref="D4:D6" si="0">B4/C4</f>
        <v>40</v>
      </c>
      <c r="F4" t="s">
        <v>11</v>
      </c>
      <c r="G4">
        <f>_xlfn.IFNA(VLOOKUP(F4, $A$3:$D$6, 4,FALSE), "Not found")</f>
        <v>100</v>
      </c>
      <c r="H4">
        <f>IF(ISNA(VLOOKUP(F4, $A$3:$D$6, 4,FALSE)),"Not found", VLOOKUP(F4, $A$3:$D$6, 4,FALSE))</f>
        <v>100</v>
      </c>
    </row>
    <row r="5" spans="1:8" x14ac:dyDescent="0.45">
      <c r="A5" t="s">
        <v>9</v>
      </c>
      <c r="B5" s="3">
        <v>300</v>
      </c>
      <c r="D5" t="e">
        <f t="shared" si="0"/>
        <v>#DIV/0!</v>
      </c>
      <c r="F5" t="s">
        <v>18</v>
      </c>
      <c r="G5" t="str">
        <f>_xlfn.IFNA(VLOOKUP(F5, $A$3:$D$6, 4,FALSE), "Not found")</f>
        <v>Not found</v>
      </c>
      <c r="H5" t="str">
        <f>IF(ISNA(VLOOKUP(F5, $A$3:$D$6, 4,FALSE)),"Not found", VLOOKUP(F5, $A$3:$D$6, 4,FALSE))</f>
        <v>Not found</v>
      </c>
    </row>
    <row r="6" spans="1:8" x14ac:dyDescent="0.45">
      <c r="A6" t="s">
        <v>11</v>
      </c>
      <c r="B6" s="3">
        <v>300</v>
      </c>
      <c r="C6" s="3">
        <v>3</v>
      </c>
      <c r="D6">
        <f t="shared" si="0"/>
        <v>100</v>
      </c>
      <c r="F6" t="s">
        <v>9</v>
      </c>
      <c r="G6" t="e">
        <f>_xlfn.IFNA(VLOOKUP(F6, $A$3:$D$6, 4,FALSE), "Not found")</f>
        <v>#DIV/0!</v>
      </c>
      <c r="H6" t="e">
        <f>IF(ISNA(VLOOKUP(F6, $A$3:$D$6, 4,FALSE)),"Not found", VLOOKUP(F6, $A$3:$D$6, 4,FALSE))</f>
        <v>#DIV/0!</v>
      </c>
    </row>
    <row r="27" spans="24:24" x14ac:dyDescent="0.45">
      <c r="X27" t="s">
        <v>4</v>
      </c>
    </row>
  </sheetData>
  <mergeCells count="2">
    <mergeCell ref="A1:D1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IFERROR function - Examples</vt:lpstr>
      <vt:lpstr>IFERROR formulas</vt:lpstr>
      <vt:lpstr>IFERROR VLOOKUP</vt:lpstr>
      <vt:lpstr>Nested IFERROR</vt:lpstr>
      <vt:lpstr>IFERROR array formula</vt:lpstr>
      <vt:lpstr>IS ERROR VLOOKUP</vt:lpstr>
      <vt:lpstr>IFNA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Frolov</dc:creator>
  <cp:lastModifiedBy>Artem Ushakov</cp:lastModifiedBy>
  <dcterms:created xsi:type="dcterms:W3CDTF">2017-09-11T13:14:29Z</dcterms:created>
  <dcterms:modified xsi:type="dcterms:W3CDTF">2020-11-25T16:37:36Z</dcterms:modified>
</cp:coreProperties>
</file>