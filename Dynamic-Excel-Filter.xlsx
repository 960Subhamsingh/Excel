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1600" windowHeight="9735"/>
  </bookViews>
  <sheets>
    <sheet name="Dynamic Filter Demo" sheetId="8" r:id="rId1"/>
    <sheet name="UniqueList" sheetId="11" r:id="rId2"/>
  </sheets>
  <definedNames>
    <definedName name="CIQWBGuid" hidden="1">"26ff19c1-a0e5-4351-aaea-f23fd9542c4d"</definedName>
    <definedName name="CountryList">UniqueList!$A$2:$A$9</definedName>
  </definedNames>
  <calcPr calcId="162913"/>
</workbook>
</file>

<file path=xl/calcChain.xml><?xml version="1.0" encoding="utf-8"?>
<calcChain xmlns="http://schemas.openxmlformats.org/spreadsheetml/2006/main">
  <c r="E4" i="8" l="1"/>
  <c r="F4" i="8"/>
  <c r="E5" i="8"/>
  <c r="F5" i="8"/>
  <c r="E6" i="8"/>
  <c r="F6" i="8"/>
  <c r="E7" i="8"/>
  <c r="F7" i="8"/>
  <c r="E8" i="8"/>
  <c r="F8" i="8"/>
  <c r="E9" i="8"/>
  <c r="F9" i="8"/>
  <c r="E10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18" i="8"/>
  <c r="F18" i="8"/>
  <c r="E19" i="8"/>
  <c r="F19" i="8"/>
  <c r="E20" i="8"/>
  <c r="F20" i="8"/>
  <c r="E21" i="8"/>
  <c r="F21" i="8"/>
  <c r="E22" i="8"/>
  <c r="F22" i="8"/>
  <c r="E23" i="8"/>
  <c r="F23" i="8"/>
  <c r="G17" i="8" l="1"/>
  <c r="I17" i="8" s="1"/>
  <c r="G5" i="8"/>
  <c r="I5" i="8" s="1"/>
  <c r="G22" i="8"/>
  <c r="G20" i="8"/>
  <c r="G18" i="8"/>
  <c r="G16" i="8"/>
  <c r="G14" i="8"/>
  <c r="G12" i="8"/>
  <c r="G10" i="8"/>
  <c r="G8" i="8"/>
  <c r="G6" i="8"/>
  <c r="G4" i="8"/>
  <c r="G23" i="8"/>
  <c r="G21" i="8"/>
  <c r="G19" i="8"/>
  <c r="G15" i="8"/>
  <c r="G13" i="8"/>
  <c r="G11" i="8"/>
  <c r="G9" i="8"/>
  <c r="G7" i="8"/>
  <c r="K17" i="8" l="1"/>
  <c r="K5" i="8"/>
  <c r="J5" i="8"/>
  <c r="J17" i="8"/>
  <c r="I21" i="8"/>
  <c r="J21" i="8"/>
  <c r="K21" i="8"/>
  <c r="J16" i="8"/>
  <c r="K16" i="8"/>
  <c r="I16" i="8"/>
  <c r="I7" i="8"/>
  <c r="J7" i="8"/>
  <c r="K7" i="8"/>
  <c r="I15" i="8"/>
  <c r="J15" i="8"/>
  <c r="K15" i="8"/>
  <c r="J4" i="8"/>
  <c r="K4" i="8"/>
  <c r="I4" i="8"/>
  <c r="J12" i="8"/>
  <c r="K12" i="8"/>
  <c r="I12" i="8"/>
  <c r="J20" i="8"/>
  <c r="K20" i="8"/>
  <c r="I20" i="8"/>
  <c r="I9" i="8"/>
  <c r="J9" i="8"/>
  <c r="K9" i="8"/>
  <c r="I19" i="8"/>
  <c r="K19" i="8"/>
  <c r="J19" i="8"/>
  <c r="J6" i="8"/>
  <c r="K6" i="8"/>
  <c r="I6" i="8"/>
  <c r="J14" i="8"/>
  <c r="K14" i="8"/>
  <c r="I14" i="8"/>
  <c r="J22" i="8"/>
  <c r="K22" i="8"/>
  <c r="I22" i="8"/>
  <c r="I11" i="8"/>
  <c r="J11" i="8"/>
  <c r="K11" i="8"/>
  <c r="J8" i="8"/>
  <c r="K8" i="8"/>
  <c r="I8" i="8"/>
  <c r="I13" i="8"/>
  <c r="J13" i="8"/>
  <c r="K13" i="8"/>
  <c r="I23" i="8"/>
  <c r="K23" i="8"/>
  <c r="J23" i="8"/>
  <c r="J10" i="8"/>
  <c r="K10" i="8"/>
  <c r="I10" i="8"/>
  <c r="J18" i="8"/>
  <c r="K18" i="8"/>
  <c r="I18" i="8"/>
</calcChain>
</file>

<file path=xl/sharedStrings.xml><?xml version="1.0" encoding="utf-8"?>
<sst xmlns="http://schemas.openxmlformats.org/spreadsheetml/2006/main" count="79" uniqueCount="47">
  <si>
    <t>Country</t>
  </si>
  <si>
    <t>Product Name</t>
  </si>
  <si>
    <t>Sales Rep</t>
  </si>
  <si>
    <t>Geography</t>
  </si>
  <si>
    <t>Product 1</t>
  </si>
  <si>
    <t>John</t>
  </si>
  <si>
    <t>India</t>
  </si>
  <si>
    <t>Product 2</t>
  </si>
  <si>
    <t>Joe</t>
  </si>
  <si>
    <t>China</t>
  </si>
  <si>
    <t>Product 3</t>
  </si>
  <si>
    <t>Mike</t>
  </si>
  <si>
    <t>Japan</t>
  </si>
  <si>
    <t>Product 4</t>
  </si>
  <si>
    <t>Racheal</t>
  </si>
  <si>
    <t>US</t>
  </si>
  <si>
    <t>Product 5</t>
  </si>
  <si>
    <t>Arvind</t>
  </si>
  <si>
    <t>Product 6</t>
  </si>
  <si>
    <t>Xin</t>
  </si>
  <si>
    <t>Product 7</t>
  </si>
  <si>
    <t>Harry</t>
  </si>
  <si>
    <t>Product 8</t>
  </si>
  <si>
    <t>Tom</t>
  </si>
  <si>
    <t>Product 9</t>
  </si>
  <si>
    <t>Paul</t>
  </si>
  <si>
    <t>Indonesia</t>
  </si>
  <si>
    <t>Product 10</t>
  </si>
  <si>
    <t>Stephen</t>
  </si>
  <si>
    <t>Philippines</t>
  </si>
  <si>
    <t>Product 11</t>
  </si>
  <si>
    <t>Singapore</t>
  </si>
  <si>
    <t>Product 12</t>
  </si>
  <si>
    <t>Product 13</t>
  </si>
  <si>
    <t>Product 14</t>
  </si>
  <si>
    <t>Canada</t>
  </si>
  <si>
    <t>Product 15</t>
  </si>
  <si>
    <t>Product 16</t>
  </si>
  <si>
    <t>Product 17</t>
  </si>
  <si>
    <t>Product 18</t>
  </si>
  <si>
    <t>Product 19</t>
  </si>
  <si>
    <t>Product 20</t>
  </si>
  <si>
    <t>Unique List</t>
  </si>
  <si>
    <t>Helper 1</t>
  </si>
  <si>
    <t>Helper 2</t>
  </si>
  <si>
    <t>Helper 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</si>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</sst>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onstantia"/>
      <family val="2"/>
      <scheme val="minor"/>
    </font>
    <font>
      <b/>
      <sz val="11"/>
      <color theme="0"/>
      <name val="Constantia"/>
      <family val="2"/>
      <scheme val="minor"/>
    </font>
    <font>
      <u/>
      <sz val="11"/>
      <color theme="10"/>
      <name val="Constantia"/>
      <family val="2"/>
      <scheme val="minor"/>
    </font>
    <font>
      <b/>
      <sz val="11"/>
      <color theme="1"/>
      <name val="Constantia"/>
      <family val="2"/>
      <scheme val="minor"/>
    </font>
    <font>
      <b/>
      <sz val="11"/>
      <color theme="1"/>
      <name val="Constantia"/>
      <family val="1"/>
      <scheme val="minor"/>
    </font>
    <font>
      <u/>
      <sz val="11"/>
      <name val="Constantia"/>
      <family val="2"/>
      <scheme val="minor"/>
    </font>
    <font>
      <sz val="11"/>
      <name val="Constanti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/>
    <xf numFmtId="0" fontId="0" fillId="0" borderId="1" xfId="0" applyBorder="1"/>
    <xf numFmtId="0" fontId="4" fillId="0" borderId="0" xfId="0" applyFont="1" applyFill="1" applyBorder="1"/>
    <xf numFmtId="0" fontId="0" fillId="0" borderId="0" xfId="0" applyFill="1" applyBorder="1"/>
    <xf numFmtId="0" fontId="5" fillId="0" borderId="0" xfId="1" applyFont="1" applyFill="1"/>
    <xf numFmtId="0" fontId="6" fillId="0" borderId="0" xfId="0" applyFont="1" applyFill="1"/>
    <xf numFmtId="0" fontId="0" fillId="0" borderId="0" xfId="0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/>
    <xf numFmtId="0" fontId="3" fillId="2" borderId="3" xfId="0" applyFont="1" applyFill="1" applyBorder="1" applyAlignment="1"/>
    <xf numFmtId="0" fontId="1" fillId="3" borderId="2" xfId="0" applyFont="1" applyFill="1" applyBorder="1" applyAlignment="1"/>
    <xf numFmtId="0" fontId="1" fillId="3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0</xdr:row>
          <xdr:rowOff>142875</xdr:rowOff>
        </xdr:from>
        <xdr:to>
          <xdr:col>11</xdr:col>
          <xdr:colOff>19050</xdr:colOff>
          <xdr:row>1</xdr:row>
          <xdr:rowOff>219075</xdr:rowOff>
        </xdr:to>
        <xdr:sp macro="" textlink="">
          <xdr:nvSpPr>
            <xdr:cNvPr id="1030" name="ComboBox21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Grid">
      <a:dk1>
        <a:sysClr val="windowText" lastClr="000000"/>
      </a:dk1>
      <a:lt1>
        <a:sysClr val="window" lastClr="FFFFFF"/>
      </a:lt1>
      <a:dk2>
        <a:srgbClr val="534949"/>
      </a:dk2>
      <a:lt2>
        <a:srgbClr val="CCD1B9"/>
      </a:lt2>
      <a:accent1>
        <a:srgbClr val="C66951"/>
      </a:accent1>
      <a:accent2>
        <a:srgbClr val="BF974D"/>
      </a:accent2>
      <a:accent3>
        <a:srgbClr val="928B70"/>
      </a:accent3>
      <a:accent4>
        <a:srgbClr val="87706B"/>
      </a:accent4>
      <a:accent5>
        <a:srgbClr val="94734E"/>
      </a:accent5>
      <a:accent6>
        <a:srgbClr val="6F777D"/>
      </a:accent6>
      <a:hlink>
        <a:srgbClr val="CC9900"/>
      </a:hlink>
      <a:folHlink>
        <a:srgbClr val="C0C0C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K37"/>
  <sheetViews>
    <sheetView showGridLines="0" tabSelected="1" zoomScaleNormal="100" workbookViewId="0">
      <selection activeCell="M4" sqref="M4"/>
    </sheetView>
  </sheetViews>
  <sheetFormatPr defaultRowHeight="15" x14ac:dyDescent="0.25"/>
  <cols>
    <col min="1" max="1" width="2.625" customWidth="1"/>
    <col min="2" max="2" width="14" customWidth="1"/>
    <col min="3" max="4" width="11.625" customWidth="1"/>
    <col min="5" max="7" width="9" style="1" customWidth="1"/>
    <col min="8" max="8" width="6.75" style="1" customWidth="1"/>
    <col min="9" max="9" width="14" bestFit="1" customWidth="1"/>
    <col min="10" max="10" width="9.25" customWidth="1"/>
    <col min="11" max="11" width="11.75" customWidth="1"/>
  </cols>
  <sheetData>
    <row r="1" spans="2:11" s="1" customFormat="1" ht="12" customHeight="1" x14ac:dyDescent="0.25"/>
    <row r="2" spans="2:11" ht="20.25" customHeight="1" x14ac:dyDescent="0.25">
      <c r="H2"/>
      <c r="K2" s="7" t="s">
        <v>46</v>
      </c>
    </row>
    <row r="3" spans="2:11" x14ac:dyDescent="0.25">
      <c r="B3" s="11" t="s">
        <v>1</v>
      </c>
      <c r="C3" s="11" t="s">
        <v>2</v>
      </c>
      <c r="D3" s="11" t="s">
        <v>0</v>
      </c>
      <c r="E3" s="12" t="s">
        <v>43</v>
      </c>
      <c r="F3" s="13" t="s">
        <v>44</v>
      </c>
      <c r="G3" s="13" t="s">
        <v>45</v>
      </c>
      <c r="I3" s="11" t="s">
        <v>1</v>
      </c>
      <c r="J3" s="11" t="s">
        <v>2</v>
      </c>
      <c r="K3" s="11" t="s">
        <v>3</v>
      </c>
    </row>
    <row r="4" spans="2:11" x14ac:dyDescent="0.25">
      <c r="B4" s="10" t="s">
        <v>4</v>
      </c>
      <c r="C4" s="10" t="s">
        <v>5</v>
      </c>
      <c r="D4" s="10" t="s">
        <v>6</v>
      </c>
      <c r="E4" s="8">
        <f>ROWS($B$4:B4)</f>
        <v>1</v>
      </c>
      <c r="F4" s="2">
        <f>IF(ISNUMBER(SEARCH($K$2,D4)),E4,"")</f>
        <v>1</v>
      </c>
      <c r="G4" s="2">
        <f t="shared" ref="G4:G23" si="0">IFERROR(SMALL($F$4:$F$23,E4),"")</f>
        <v>1</v>
      </c>
      <c r="I4" s="9" t="str">
        <f>IFERROR(INDEX($B$4:$D$23,$G4,COLUMNS($I$3:I3)),"")</f>
        <v>Product 1</v>
      </c>
      <c r="J4" s="9" t="str">
        <f>IFERROR(INDEX($B$4:$D$23,$G4,COLUMNS($I$3:J3)),"")</f>
        <v>John</v>
      </c>
      <c r="K4" s="9" t="str">
        <f>IFERROR(INDEX($B$4:$D$23,$G4,COLUMNS($I$3:K3)),"")</f>
        <v>India</v>
      </c>
    </row>
    <row r="5" spans="2:11" x14ac:dyDescent="0.25">
      <c r="B5" s="10" t="s">
        <v>7</v>
      </c>
      <c r="C5" s="10" t="s">
        <v>8</v>
      </c>
      <c r="D5" s="10" t="s">
        <v>9</v>
      </c>
      <c r="E5" s="8">
        <f>ROWS($B$4:B5)</f>
        <v>2</v>
      </c>
      <c r="F5" s="2">
        <f t="shared" ref="F5:F23" si="1">IF(ISNUMBER(SEARCH($K$2,D5)),E5,"")</f>
        <v>2</v>
      </c>
      <c r="G5" s="2">
        <f t="shared" si="0"/>
        <v>2</v>
      </c>
      <c r="I5" s="9" t="str">
        <f>IFERROR(INDEX($B$4:$D$23,$G5,COLUMNS($I$3:I4)),"")</f>
        <v>Product 2</v>
      </c>
      <c r="J5" s="9" t="str">
        <f>IFERROR(INDEX($B$4:$D$23,$G5,COLUMNS($I$3:J4)),"")</f>
        <v>Joe</v>
      </c>
      <c r="K5" s="9" t="str">
        <f>IFERROR(INDEX($B$4:$D$23,$G5,COLUMNS($I$3:K4)),"")</f>
        <v>China</v>
      </c>
    </row>
    <row r="6" spans="2:11" x14ac:dyDescent="0.25">
      <c r="B6" s="10" t="s">
        <v>10</v>
      </c>
      <c r="C6" s="10" t="s">
        <v>11</v>
      </c>
      <c r="D6" s="10" t="s">
        <v>12</v>
      </c>
      <c r="E6" s="8">
        <f>ROWS($B$4:B6)</f>
        <v>3</v>
      </c>
      <c r="F6" s="2">
        <f t="shared" si="1"/>
        <v>3</v>
      </c>
      <c r="G6" s="2">
        <f t="shared" si="0"/>
        <v>3</v>
      </c>
      <c r="I6" s="9" t="str">
        <f>IFERROR(INDEX($B$4:$D$23,$G6,COLUMNS($I$3:I5)),"")</f>
        <v>Product 3</v>
      </c>
      <c r="J6" s="9" t="str">
        <f>IFERROR(INDEX($B$4:$D$23,$G6,COLUMNS($I$3:J5)),"")</f>
        <v>Mike</v>
      </c>
      <c r="K6" s="9" t="str">
        <f>IFERROR(INDEX($B$4:$D$23,$G6,COLUMNS($I$3:K5)),"")</f>
        <v>Japan</v>
      </c>
    </row>
    <row r="7" spans="2:11" x14ac:dyDescent="0.25">
      <c r="B7" s="10" t="s">
        <v>13</v>
      </c>
      <c r="C7" s="10" t="s">
        <v>14</v>
      </c>
      <c r="D7" s="10" t="s">
        <v>15</v>
      </c>
      <c r="E7" s="8">
        <f>ROWS($B$4:B7)</f>
        <v>4</v>
      </c>
      <c r="F7" s="2">
        <f t="shared" si="1"/>
        <v>4</v>
      </c>
      <c r="G7" s="2">
        <f t="shared" si="0"/>
        <v>4</v>
      </c>
      <c r="I7" s="9" t="str">
        <f>IFERROR(INDEX($B$4:$D$23,$G7,COLUMNS($I$3:I6)),"")</f>
        <v>Product 4</v>
      </c>
      <c r="J7" s="9" t="str">
        <f>IFERROR(INDEX($B$4:$D$23,$G7,COLUMNS($I$3:J6)),"")</f>
        <v>Racheal</v>
      </c>
      <c r="K7" s="9" t="str">
        <f>IFERROR(INDEX($B$4:$D$23,$G7,COLUMNS($I$3:K6)),"")</f>
        <v>US</v>
      </c>
    </row>
    <row r="8" spans="2:11" x14ac:dyDescent="0.25">
      <c r="B8" s="10" t="s">
        <v>16</v>
      </c>
      <c r="C8" s="10" t="s">
        <v>17</v>
      </c>
      <c r="D8" s="10" t="s">
        <v>6</v>
      </c>
      <c r="E8" s="8">
        <f>ROWS($B$4:B8)</f>
        <v>5</v>
      </c>
      <c r="F8" s="2">
        <f t="shared" si="1"/>
        <v>5</v>
      </c>
      <c r="G8" s="2">
        <f t="shared" si="0"/>
        <v>5</v>
      </c>
      <c r="I8" s="9" t="str">
        <f>IFERROR(INDEX($B$4:$D$23,$G8,COLUMNS($I$3:I7)),"")</f>
        <v>Product 5</v>
      </c>
      <c r="J8" s="9" t="str">
        <f>IFERROR(INDEX($B$4:$D$23,$G8,COLUMNS($I$3:J7)),"")</f>
        <v>Arvind</v>
      </c>
      <c r="K8" s="9" t="str">
        <f>IFERROR(INDEX($B$4:$D$23,$G8,COLUMNS($I$3:K7)),"")</f>
        <v>India</v>
      </c>
    </row>
    <row r="9" spans="2:11" x14ac:dyDescent="0.25">
      <c r="B9" s="10" t="s">
        <v>18</v>
      </c>
      <c r="C9" s="10" t="s">
        <v>19</v>
      </c>
      <c r="D9" s="10" t="s">
        <v>9</v>
      </c>
      <c r="E9" s="8">
        <f>ROWS($B$4:B9)</f>
        <v>6</v>
      </c>
      <c r="F9" s="2">
        <f t="shared" si="1"/>
        <v>6</v>
      </c>
      <c r="G9" s="2">
        <f t="shared" si="0"/>
        <v>6</v>
      </c>
      <c r="I9" s="9" t="str">
        <f>IFERROR(INDEX($B$4:$D$23,$G9,COLUMNS($I$3:I8)),"")</f>
        <v>Product 6</v>
      </c>
      <c r="J9" s="9" t="str">
        <f>IFERROR(INDEX($B$4:$D$23,$G9,COLUMNS($I$3:J8)),"")</f>
        <v>Xin</v>
      </c>
      <c r="K9" s="9" t="str">
        <f>IFERROR(INDEX($B$4:$D$23,$G9,COLUMNS($I$3:K8)),"")</f>
        <v>China</v>
      </c>
    </row>
    <row r="10" spans="2:11" x14ac:dyDescent="0.25">
      <c r="B10" s="10" t="s">
        <v>20</v>
      </c>
      <c r="C10" s="10" t="s">
        <v>21</v>
      </c>
      <c r="D10" s="10" t="s">
        <v>15</v>
      </c>
      <c r="E10" s="8">
        <f>ROWS($B$4:B10)</f>
        <v>7</v>
      </c>
      <c r="F10" s="2">
        <f t="shared" si="1"/>
        <v>7</v>
      </c>
      <c r="G10" s="2">
        <f t="shared" si="0"/>
        <v>7</v>
      </c>
      <c r="I10" s="9" t="str">
        <f>IFERROR(INDEX($B$4:$D$23,$G10,COLUMNS($I$3:I9)),"")</f>
        <v>Product 7</v>
      </c>
      <c r="J10" s="9" t="str">
        <f>IFERROR(INDEX($B$4:$D$23,$G10,COLUMNS($I$3:J9)),"")</f>
        <v>Harry</v>
      </c>
      <c r="K10" s="9" t="str">
        <f>IFERROR(INDEX($B$4:$D$23,$G10,COLUMNS($I$3:K9)),"")</f>
        <v>US</v>
      </c>
    </row>
    <row r="11" spans="2:11" x14ac:dyDescent="0.25">
      <c r="B11" s="10" t="s">
        <v>22</v>
      </c>
      <c r="C11" s="10" t="s">
        <v>23</v>
      </c>
      <c r="D11" s="10" t="s">
        <v>6</v>
      </c>
      <c r="E11" s="8">
        <f>ROWS($B$4:B11)</f>
        <v>8</v>
      </c>
      <c r="F11" s="2">
        <f t="shared" si="1"/>
        <v>8</v>
      </c>
      <c r="G11" s="2">
        <f t="shared" si="0"/>
        <v>8</v>
      </c>
      <c r="I11" s="9" t="str">
        <f>IFERROR(INDEX($B$4:$D$23,$G11,COLUMNS($I$3:I10)),"")</f>
        <v>Product 8</v>
      </c>
      <c r="J11" s="9" t="str">
        <f>IFERROR(INDEX($B$4:$D$23,$G11,COLUMNS($I$3:J10)),"")</f>
        <v>Tom</v>
      </c>
      <c r="K11" s="9" t="str">
        <f>IFERROR(INDEX($B$4:$D$23,$G11,COLUMNS($I$3:K10)),"")</f>
        <v>India</v>
      </c>
    </row>
    <row r="12" spans="2:11" x14ac:dyDescent="0.25">
      <c r="B12" s="10" t="s">
        <v>24</v>
      </c>
      <c r="C12" s="10" t="s">
        <v>25</v>
      </c>
      <c r="D12" s="10" t="s">
        <v>26</v>
      </c>
      <c r="E12" s="8">
        <f>ROWS($B$4:B12)</f>
        <v>9</v>
      </c>
      <c r="F12" s="2">
        <f t="shared" si="1"/>
        <v>9</v>
      </c>
      <c r="G12" s="2">
        <f t="shared" si="0"/>
        <v>9</v>
      </c>
      <c r="I12" s="9" t="str">
        <f>IFERROR(INDEX($B$4:$D$23,$G12,COLUMNS($I$3:I11)),"")</f>
        <v>Product 9</v>
      </c>
      <c r="J12" s="9" t="str">
        <f>IFERROR(INDEX($B$4:$D$23,$G12,COLUMNS($I$3:J11)),"")</f>
        <v>Paul</v>
      </c>
      <c r="K12" s="9" t="str">
        <f>IFERROR(INDEX($B$4:$D$23,$G12,COLUMNS($I$3:K11)),"")</f>
        <v>Indonesia</v>
      </c>
    </row>
    <row r="13" spans="2:11" x14ac:dyDescent="0.25">
      <c r="B13" s="10" t="s">
        <v>27</v>
      </c>
      <c r="C13" s="10" t="s">
        <v>28</v>
      </c>
      <c r="D13" s="10" t="s">
        <v>29</v>
      </c>
      <c r="E13" s="8">
        <f>ROWS($B$4:B13)</f>
        <v>10</v>
      </c>
      <c r="F13" s="2">
        <f t="shared" si="1"/>
        <v>10</v>
      </c>
      <c r="G13" s="2">
        <f t="shared" si="0"/>
        <v>10</v>
      </c>
      <c r="I13" s="9" t="str">
        <f>IFERROR(INDEX($B$4:$D$23,$G13,COLUMNS($I$3:I12)),"")</f>
        <v>Product 10</v>
      </c>
      <c r="J13" s="9" t="str">
        <f>IFERROR(INDEX($B$4:$D$23,$G13,COLUMNS($I$3:J12)),"")</f>
        <v>Stephen</v>
      </c>
      <c r="K13" s="9" t="str">
        <f>IFERROR(INDEX($B$4:$D$23,$G13,COLUMNS($I$3:K12)),"")</f>
        <v>Philippines</v>
      </c>
    </row>
    <row r="14" spans="2:11" x14ac:dyDescent="0.25">
      <c r="B14" s="10" t="s">
        <v>30</v>
      </c>
      <c r="C14" s="10" t="s">
        <v>25</v>
      </c>
      <c r="D14" s="10" t="s">
        <v>31</v>
      </c>
      <c r="E14" s="8">
        <f>ROWS($B$4:B14)</f>
        <v>11</v>
      </c>
      <c r="F14" s="2">
        <f t="shared" si="1"/>
        <v>11</v>
      </c>
      <c r="G14" s="2">
        <f t="shared" si="0"/>
        <v>11</v>
      </c>
      <c r="I14" s="9" t="str">
        <f>IFERROR(INDEX($B$4:$D$23,$G14,COLUMNS($I$3:I13)),"")</f>
        <v>Product 11</v>
      </c>
      <c r="J14" s="9" t="str">
        <f>IFERROR(INDEX($B$4:$D$23,$G14,COLUMNS($I$3:J13)),"")</f>
        <v>Paul</v>
      </c>
      <c r="K14" s="9" t="str">
        <f>IFERROR(INDEX($B$4:$D$23,$G14,COLUMNS($I$3:K13)),"")</f>
        <v>Singapore</v>
      </c>
    </row>
    <row r="15" spans="2:11" x14ac:dyDescent="0.25">
      <c r="B15" s="10" t="s">
        <v>32</v>
      </c>
      <c r="C15" s="10" t="s">
        <v>21</v>
      </c>
      <c r="D15" s="10" t="s">
        <v>31</v>
      </c>
      <c r="E15" s="8">
        <f>ROWS($B$4:B15)</f>
        <v>12</v>
      </c>
      <c r="F15" s="2">
        <f t="shared" si="1"/>
        <v>12</v>
      </c>
      <c r="G15" s="2">
        <f t="shared" si="0"/>
        <v>12</v>
      </c>
      <c r="I15" s="9" t="str">
        <f>IFERROR(INDEX($B$4:$D$23,$G15,COLUMNS($I$3:I14)),"")</f>
        <v>Product 12</v>
      </c>
      <c r="J15" s="9" t="str">
        <f>IFERROR(INDEX($B$4:$D$23,$G15,COLUMNS($I$3:J14)),"")</f>
        <v>Harry</v>
      </c>
      <c r="K15" s="9" t="str">
        <f>IFERROR(INDEX($B$4:$D$23,$G15,COLUMNS($I$3:K14)),"")</f>
        <v>Singapore</v>
      </c>
    </row>
    <row r="16" spans="2:11" x14ac:dyDescent="0.25">
      <c r="B16" s="10" t="s">
        <v>33</v>
      </c>
      <c r="C16" s="10" t="s">
        <v>5</v>
      </c>
      <c r="D16" s="10" t="s">
        <v>6</v>
      </c>
      <c r="E16" s="8">
        <f>ROWS($B$4:B16)</f>
        <v>13</v>
      </c>
      <c r="F16" s="2">
        <f t="shared" si="1"/>
        <v>13</v>
      </c>
      <c r="G16" s="2">
        <f t="shared" si="0"/>
        <v>13</v>
      </c>
      <c r="I16" s="9" t="str">
        <f>IFERROR(INDEX($B$4:$D$23,$G16,COLUMNS($I$3:I15)),"")</f>
        <v>Product 13</v>
      </c>
      <c r="J16" s="9" t="str">
        <f>IFERROR(INDEX($B$4:$D$23,$G16,COLUMNS($I$3:J15)),"")</f>
        <v>John</v>
      </c>
      <c r="K16" s="9" t="str">
        <f>IFERROR(INDEX($B$4:$D$23,$G16,COLUMNS($I$3:K15)),"")</f>
        <v>India</v>
      </c>
    </row>
    <row r="17" spans="2:11" x14ac:dyDescent="0.25">
      <c r="B17" s="10" t="s">
        <v>34</v>
      </c>
      <c r="C17" s="10" t="s">
        <v>11</v>
      </c>
      <c r="D17" s="10" t="s">
        <v>35</v>
      </c>
      <c r="E17" s="8">
        <f>ROWS($B$4:B17)</f>
        <v>14</v>
      </c>
      <c r="F17" s="2">
        <f t="shared" si="1"/>
        <v>14</v>
      </c>
      <c r="G17" s="2">
        <f t="shared" si="0"/>
        <v>14</v>
      </c>
      <c r="I17" s="9" t="str">
        <f>IFERROR(INDEX($B$4:$D$23,$G17,COLUMNS($I$3:I16)),"")</f>
        <v>Product 14</v>
      </c>
      <c r="J17" s="9" t="str">
        <f>IFERROR(INDEX($B$4:$D$23,$G17,COLUMNS($I$3:J16)),"")</f>
        <v>Mike</v>
      </c>
      <c r="K17" s="9" t="str">
        <f>IFERROR(INDEX($B$4:$D$23,$G17,COLUMNS($I$3:K16)),"")</f>
        <v>Canada</v>
      </c>
    </row>
    <row r="18" spans="2:11" x14ac:dyDescent="0.25">
      <c r="B18" s="10" t="s">
        <v>36</v>
      </c>
      <c r="C18" s="10" t="s">
        <v>11</v>
      </c>
      <c r="D18" s="10" t="s">
        <v>12</v>
      </c>
      <c r="E18" s="8">
        <f>ROWS($B$4:B18)</f>
        <v>15</v>
      </c>
      <c r="F18" s="2">
        <f t="shared" si="1"/>
        <v>15</v>
      </c>
      <c r="G18" s="2">
        <f t="shared" si="0"/>
        <v>15</v>
      </c>
      <c r="I18" s="9" t="str">
        <f>IFERROR(INDEX($B$4:$D$23,$G18,COLUMNS($I$3:I17)),"")</f>
        <v>Product 15</v>
      </c>
      <c r="J18" s="9" t="str">
        <f>IFERROR(INDEX($B$4:$D$23,$G18,COLUMNS($I$3:J17)),"")</f>
        <v>Mike</v>
      </c>
      <c r="K18" s="9" t="str">
        <f>IFERROR(INDEX($B$4:$D$23,$G18,COLUMNS($I$3:K17)),"")</f>
        <v>Japan</v>
      </c>
    </row>
    <row r="19" spans="2:11" x14ac:dyDescent="0.25">
      <c r="B19" s="10" t="s">
        <v>37</v>
      </c>
      <c r="C19" s="10" t="s">
        <v>25</v>
      </c>
      <c r="D19" s="10" t="s">
        <v>12</v>
      </c>
      <c r="E19" s="8">
        <f>ROWS($B$4:B19)</f>
        <v>16</v>
      </c>
      <c r="F19" s="2">
        <f t="shared" si="1"/>
        <v>16</v>
      </c>
      <c r="G19" s="2">
        <f t="shared" si="0"/>
        <v>16</v>
      </c>
      <c r="I19" s="9" t="str">
        <f>IFERROR(INDEX($B$4:$D$23,$G19,COLUMNS($I$3:I18)),"")</f>
        <v>Product 16</v>
      </c>
      <c r="J19" s="9" t="str">
        <f>IFERROR(INDEX($B$4:$D$23,$G19,COLUMNS($I$3:J18)),"")</f>
        <v>Paul</v>
      </c>
      <c r="K19" s="9" t="str">
        <f>IFERROR(INDEX($B$4:$D$23,$G19,COLUMNS($I$3:K18)),"")</f>
        <v>Japan</v>
      </c>
    </row>
    <row r="20" spans="2:11" x14ac:dyDescent="0.25">
      <c r="B20" s="10" t="s">
        <v>38</v>
      </c>
      <c r="C20" s="10" t="s">
        <v>14</v>
      </c>
      <c r="D20" s="10" t="s">
        <v>15</v>
      </c>
      <c r="E20" s="8">
        <f>ROWS($B$4:B20)</f>
        <v>17</v>
      </c>
      <c r="F20" s="2">
        <f t="shared" si="1"/>
        <v>17</v>
      </c>
      <c r="G20" s="2">
        <f t="shared" si="0"/>
        <v>17</v>
      </c>
      <c r="I20" s="9" t="str">
        <f>IFERROR(INDEX($B$4:$D$23,$G20,COLUMNS($I$3:I19)),"")</f>
        <v>Product 17</v>
      </c>
      <c r="J20" s="9" t="str">
        <f>IFERROR(INDEX($B$4:$D$23,$G20,COLUMNS($I$3:J19)),"")</f>
        <v>Racheal</v>
      </c>
      <c r="K20" s="9" t="str">
        <f>IFERROR(INDEX($B$4:$D$23,$G20,COLUMNS($I$3:K19)),"")</f>
        <v>US</v>
      </c>
    </row>
    <row r="21" spans="2:11" x14ac:dyDescent="0.25">
      <c r="B21" s="10" t="s">
        <v>39</v>
      </c>
      <c r="C21" s="10" t="s">
        <v>25</v>
      </c>
      <c r="D21" s="10" t="s">
        <v>15</v>
      </c>
      <c r="E21" s="8">
        <f>ROWS($B$4:B21)</f>
        <v>18</v>
      </c>
      <c r="F21" s="2">
        <f t="shared" si="1"/>
        <v>18</v>
      </c>
      <c r="G21" s="2">
        <f t="shared" si="0"/>
        <v>18</v>
      </c>
      <c r="I21" s="9" t="str">
        <f>IFERROR(INDEX($B$4:$D$23,$G21,COLUMNS($I$3:I20)),"")</f>
        <v>Product 18</v>
      </c>
      <c r="J21" s="9" t="str">
        <f>IFERROR(INDEX($B$4:$D$23,$G21,COLUMNS($I$3:J20)),"")</f>
        <v>Paul</v>
      </c>
      <c r="K21" s="9" t="str">
        <f>IFERROR(INDEX($B$4:$D$23,$G21,COLUMNS($I$3:K20)),"")</f>
        <v>US</v>
      </c>
    </row>
    <row r="22" spans="2:11" x14ac:dyDescent="0.25">
      <c r="B22" s="10" t="s">
        <v>40</v>
      </c>
      <c r="C22" s="10" t="s">
        <v>8</v>
      </c>
      <c r="D22" s="10" t="s">
        <v>35</v>
      </c>
      <c r="E22" s="8">
        <f>ROWS($B$4:B22)</f>
        <v>19</v>
      </c>
      <c r="F22" s="2">
        <f t="shared" si="1"/>
        <v>19</v>
      </c>
      <c r="G22" s="2">
        <f t="shared" si="0"/>
        <v>19</v>
      </c>
      <c r="I22" s="9" t="str">
        <f>IFERROR(INDEX($B$4:$D$23,$G22,COLUMNS($I$3:I21)),"")</f>
        <v>Product 19</v>
      </c>
      <c r="J22" s="9" t="str">
        <f>IFERROR(INDEX($B$4:$D$23,$G22,COLUMNS($I$3:J21)),"")</f>
        <v>Joe</v>
      </c>
      <c r="K22" s="9" t="str">
        <f>IFERROR(INDEX($B$4:$D$23,$G22,COLUMNS($I$3:K21)),"")</f>
        <v>Canada</v>
      </c>
    </row>
    <row r="23" spans="2:11" x14ac:dyDescent="0.25">
      <c r="B23" s="10" t="s">
        <v>41</v>
      </c>
      <c r="C23" s="10" t="s">
        <v>8</v>
      </c>
      <c r="D23" s="10" t="s">
        <v>6</v>
      </c>
      <c r="E23" s="8">
        <f>ROWS($B$4:B23)</f>
        <v>20</v>
      </c>
      <c r="F23" s="2">
        <f t="shared" si="1"/>
        <v>20</v>
      </c>
      <c r="G23" s="2">
        <f t="shared" si="0"/>
        <v>20</v>
      </c>
      <c r="I23" s="9" t="str">
        <f>IFERROR(INDEX($B$4:$D$23,$G23,COLUMNS($I$3:I22)),"")</f>
        <v>Product 20</v>
      </c>
      <c r="J23" s="9" t="str">
        <f>IFERROR(INDEX($B$4:$D$23,$G23,COLUMNS($I$3:J22)),"")</f>
        <v>Joe</v>
      </c>
      <c r="K23" s="9" t="str">
        <f>IFERROR(INDEX($B$4:$D$23,$G23,COLUMNS($I$3:K22)),"")</f>
        <v>India</v>
      </c>
    </row>
    <row r="26" spans="2:11" x14ac:dyDescent="0.25">
      <c r="C26" s="3"/>
    </row>
    <row r="27" spans="2:11" x14ac:dyDescent="0.25">
      <c r="C27" s="4"/>
    </row>
    <row r="28" spans="2:11" x14ac:dyDescent="0.25">
      <c r="C28" s="4"/>
    </row>
    <row r="29" spans="2:11" x14ac:dyDescent="0.25">
      <c r="C29" s="4"/>
    </row>
    <row r="30" spans="2:11" x14ac:dyDescent="0.25">
      <c r="C30" s="4"/>
    </row>
    <row r="31" spans="2:11" x14ac:dyDescent="0.25">
      <c r="C31" s="4"/>
    </row>
    <row r="32" spans="2:11" x14ac:dyDescent="0.25">
      <c r="C32" s="4"/>
    </row>
    <row r="33" spans="3:5" x14ac:dyDescent="0.25">
      <c r="C33" s="4"/>
    </row>
    <row r="34" spans="3:5" x14ac:dyDescent="0.25">
      <c r="C34" s="4"/>
    </row>
    <row r="37" spans="3:5" x14ac:dyDescent="0.25">
      <c r="D37" s="5"/>
      <c r="E37" s="6"/>
    </row>
  </sheetData>
  <dataValidations disablePrompts="1" count="1">
    <dataValidation type="list" allowBlank="1" showInputMessage="1" showErrorMessage="1" sqref="M3">
      <formula1>$C$27:$C$35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ComboBox21">
          <controlPr autoLine="0" linkedCell="K2" listFillRange="CountryList" r:id="rId5">
            <anchor moveWithCells="1">
              <from>
                <xdr:col>10</xdr:col>
                <xdr:colOff>0</xdr:colOff>
                <xdr:row>0</xdr:row>
                <xdr:rowOff>142875</xdr:rowOff>
              </from>
              <to>
                <xdr:col>11</xdr:col>
                <xdr:colOff>19050</xdr:colOff>
                <xdr:row>1</xdr:row>
                <xdr:rowOff>219075</xdr:rowOff>
              </to>
            </anchor>
          </controlPr>
        </control>
      </mc:Choice>
      <mc:Fallback>
        <control shapeId="1030" r:id="rId4" name="ComboBox2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9"/>
  <sheetViews>
    <sheetView workbookViewId="0"/>
  </sheetViews>
  <sheetFormatPr defaultRowHeight="15" x14ac:dyDescent="0.25"/>
  <cols>
    <col min="1" max="1" width="11.625" bestFit="1" customWidth="1"/>
  </cols>
  <sheetData>
    <row r="1" spans="1:1" x14ac:dyDescent="0.25">
      <c r="A1" s="11" t="s">
        <v>42</v>
      </c>
    </row>
    <row r="2" spans="1:1" x14ac:dyDescent="0.25">
      <c r="A2" s="10" t="s">
        <v>6</v>
      </c>
    </row>
    <row r="3" spans="1:1" x14ac:dyDescent="0.25">
      <c r="A3" s="10" t="s">
        <v>9</v>
      </c>
    </row>
    <row r="4" spans="1:1" x14ac:dyDescent="0.25">
      <c r="A4" s="10" t="s">
        <v>12</v>
      </c>
    </row>
    <row r="5" spans="1:1" x14ac:dyDescent="0.25">
      <c r="A5" s="10" t="s">
        <v>15</v>
      </c>
    </row>
    <row r="6" spans="1:1" x14ac:dyDescent="0.25">
      <c r="A6" s="10" t="s">
        <v>26</v>
      </c>
    </row>
    <row r="7" spans="1:1" x14ac:dyDescent="0.25">
      <c r="A7" s="10" t="s">
        <v>29</v>
      </c>
    </row>
    <row r="8" spans="1:1" x14ac:dyDescent="0.25">
      <c r="A8" s="10" t="s">
        <v>31</v>
      </c>
    </row>
    <row r="9" spans="1:1" x14ac:dyDescent="0.25">
      <c r="A9" s="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Dynamic Filter Demo</vt:lpstr>
      <vt:lpstr>UniqueList</vt:lpstr>
      <vt:lpstr>CountryList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2024-11-12T05:37:40Z</dcterms:modified>
</cp:coreProperties>
</file>