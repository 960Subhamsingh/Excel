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Excel\"/>
    </mc:Choice>
  </mc:AlternateContent>
  <bookViews>
    <workbookView xWindow="0" yWindow="0" windowWidth="20490" windowHeight="7620" firstSheet="7" activeTab="9"/>
  </bookViews>
  <sheets>
    <sheet name="SUMIF function - examples" sheetId="13" r:id="rId1"/>
    <sheet name="Basic formula" sheetId="27" r:id="rId2"/>
    <sheet name="SUMIF greater than" sheetId="16" r:id="rId3"/>
    <sheet name="SUMIF equal to" sheetId="20" r:id="rId4"/>
    <sheet name="SUMIF not equal to" sheetId="19" r:id="rId5"/>
    <sheet name="SUMIF not blank" sheetId="25" r:id="rId6"/>
    <sheet name="SUMIF blank" sheetId="28" r:id="rId7"/>
    <sheet name="SUMIF wildcards" sheetId="21" r:id="rId8"/>
    <sheet name="SUMIF with dates" sheetId="17" r:id="rId9"/>
    <sheet name="Sheet1" sheetId="29" r:id="rId10"/>
  </sheets>
  <definedNames>
    <definedName name="_xlnm._FilterDatabase" localSheetId="2" hidden="1">'SUMIF greater than'!$A$1:$C$10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" i="29" l="1"/>
  <c r="H2" i="16" l="1"/>
  <c r="F2" i="21" l="1"/>
  <c r="F6" i="16"/>
  <c r="F2" i="16"/>
  <c r="F2" i="27"/>
  <c r="F2" i="17"/>
  <c r="I2" i="17" l="1"/>
  <c r="F6" i="21"/>
  <c r="F2" i="25"/>
  <c r="F2" i="28"/>
  <c r="F6" i="20"/>
  <c r="F2" i="20"/>
  <c r="F6" i="19" l="1"/>
  <c r="F2" i="19"/>
</calcChain>
</file>

<file path=xl/sharedStrings.xml><?xml version="1.0" encoding="utf-8"?>
<sst xmlns="http://schemas.openxmlformats.org/spreadsheetml/2006/main" count="201" uniqueCount="56">
  <si>
    <t>Examples:</t>
  </si>
  <si>
    <t xml:space="preserve">• </t>
  </si>
  <si>
    <t>Author</t>
  </si>
  <si>
    <t>Last update</t>
  </si>
  <si>
    <t>Tutorial URL</t>
  </si>
  <si>
    <t xml:space="preserve"> </t>
  </si>
  <si>
    <t>Sample Workbook to Excel SUMIF Function</t>
  </si>
  <si>
    <t>Region</t>
  </si>
  <si>
    <t>Item</t>
  </si>
  <si>
    <t>Sales</t>
  </si>
  <si>
    <t>East</t>
  </si>
  <si>
    <t>Apples</t>
  </si>
  <si>
    <t>Grapes</t>
  </si>
  <si>
    <t>Lemons</t>
  </si>
  <si>
    <t>North</t>
  </si>
  <si>
    <t>South</t>
  </si>
  <si>
    <t>West</t>
  </si>
  <si>
    <t>Ships in (days)</t>
  </si>
  <si>
    <t>Total</t>
  </si>
  <si>
    <t>Ships not in</t>
  </si>
  <si>
    <t>Item is not</t>
  </si>
  <si>
    <t>South-East</t>
  </si>
  <si>
    <t>North-West</t>
  </si>
  <si>
    <t>North-East</t>
  </si>
  <si>
    <t>South-West</t>
  </si>
  <si>
    <t>West*</t>
  </si>
  <si>
    <t>East*</t>
  </si>
  <si>
    <t>*</t>
  </si>
  <si>
    <t>undefined</t>
  </si>
  <si>
    <t>Delivery</t>
  </si>
  <si>
    <t>Delivered before</t>
  </si>
  <si>
    <t>Date range</t>
  </si>
  <si>
    <t>Basic SUMIF formula</t>
  </si>
  <si>
    <t>Sum if greater than or less than</t>
  </si>
  <si>
    <t>Sum if equal to</t>
  </si>
  <si>
    <t>Sum if not equal to</t>
  </si>
  <si>
    <t>Sum if not blank</t>
  </si>
  <si>
    <t>Sum if blank</t>
  </si>
  <si>
    <t>Sum if cell contains specific text</t>
  </si>
  <si>
    <t>SUMIF with dates as criteria</t>
  </si>
  <si>
    <t>Ships in</t>
  </si>
  <si>
    <t>defined</t>
  </si>
  <si>
    <t>The workbook shows how to use the SUMIF function in Excel to conditionally sum cells.</t>
  </si>
  <si>
    <t>Ships in more than</t>
  </si>
  <si>
    <t>Ships in less than</t>
  </si>
  <si>
    <t>Day</t>
  </si>
  <si>
    <t>Amount</t>
  </si>
  <si>
    <t>Monday</t>
  </si>
  <si>
    <t>Red T-shirt, Large</t>
  </si>
  <si>
    <t>Tuesday</t>
  </si>
  <si>
    <t>Wednesday</t>
  </si>
  <si>
    <t>Black Hat</t>
  </si>
  <si>
    <t>White Hat</t>
  </si>
  <si>
    <t>Blue T-shirt, Large</t>
  </si>
  <si>
    <t>Red T-shirt, Medium</t>
  </si>
  <si>
    <t>T-Shirt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</si>
</sst>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&quot;$&quot;#,##0"/>
  </numFmts>
  <fonts count="10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27"/>
      <color theme="1" tint="0.249977111117893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</font>
    <font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/>
      <right/>
      <top style="thin">
        <color theme="2" tint="-0.499984740745262"/>
      </top>
      <bottom/>
      <diagonal/>
    </border>
    <border>
      <left/>
      <right/>
      <top/>
      <bottom style="thin">
        <color theme="2" tint="-0.499984740745262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5" fillId="0" borderId="0"/>
    <xf numFmtId="0" fontId="3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0" fontId="5" fillId="2" borderId="0" xfId="2" applyFill="1"/>
    <xf numFmtId="0" fontId="5" fillId="2" borderId="0" xfId="2" applyFill="1" applyAlignment="1">
      <alignment horizontal="left"/>
    </xf>
    <xf numFmtId="0" fontId="4" fillId="2" borderId="0" xfId="3" applyFont="1" applyFill="1"/>
    <xf numFmtId="164" fontId="5" fillId="2" borderId="0" xfId="2" applyNumberFormat="1" applyFill="1" applyAlignment="1">
      <alignment horizontal="left"/>
    </xf>
    <xf numFmtId="0" fontId="1" fillId="2" borderId="0" xfId="2" applyFont="1" applyFill="1" applyAlignment="1">
      <alignment vertical="top"/>
    </xf>
    <xf numFmtId="0" fontId="5" fillId="2" borderId="0" xfId="2" applyFill="1" applyAlignment="1">
      <alignment vertical="top"/>
    </xf>
    <xf numFmtId="0" fontId="5" fillId="2" borderId="0" xfId="2" applyFill="1" applyAlignment="1">
      <alignment horizontal="right"/>
    </xf>
    <xf numFmtId="0" fontId="5" fillId="0" borderId="0" xfId="2"/>
    <xf numFmtId="0" fontId="7" fillId="0" borderId="0" xfId="4" applyFont="1"/>
    <xf numFmtId="165" fontId="0" fillId="0" borderId="0" xfId="0" applyNumberFormat="1"/>
    <xf numFmtId="0" fontId="8" fillId="3" borderId="0" xfId="0" applyFont="1" applyFill="1"/>
    <xf numFmtId="0" fontId="0" fillId="0" borderId="2" xfId="0" applyBorder="1"/>
    <xf numFmtId="0" fontId="8" fillId="0" borderId="1" xfId="0" applyFont="1" applyBorder="1"/>
    <xf numFmtId="0" fontId="8" fillId="0" borderId="3" xfId="0" applyFont="1" applyBorder="1"/>
    <xf numFmtId="165" fontId="0" fillId="0" borderId="4" xfId="0" applyNumberFormat="1" applyBorder="1"/>
    <xf numFmtId="0" fontId="0" fillId="0" borderId="1" xfId="0" applyBorder="1"/>
    <xf numFmtId="0" fontId="0" fillId="0" borderId="3" xfId="0" applyBorder="1"/>
    <xf numFmtId="0" fontId="0" fillId="0" borderId="0" xfId="0" applyNumberFormat="1"/>
    <xf numFmtId="0" fontId="0" fillId="0" borderId="0" xfId="0" applyBorder="1"/>
    <xf numFmtId="165" fontId="0" fillId="0" borderId="0" xfId="0" applyNumberFormat="1" applyBorder="1"/>
    <xf numFmtId="164" fontId="0" fillId="0" borderId="0" xfId="0" applyNumberFormat="1"/>
    <xf numFmtId="164" fontId="0" fillId="0" borderId="2" xfId="0" applyNumberFormat="1" applyBorder="1"/>
    <xf numFmtId="164" fontId="0" fillId="0" borderId="5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4" fillId="2" borderId="0" xfId="1" applyFont="1" applyFill="1"/>
    <xf numFmtId="0" fontId="2" fillId="2" borderId="0" xfId="2" applyFont="1" applyFill="1" applyAlignment="1">
      <alignment horizontal="left"/>
    </xf>
    <xf numFmtId="0" fontId="5" fillId="2" borderId="0" xfId="2" applyFill="1" applyAlignment="1">
      <alignment vertical="top" wrapText="1"/>
    </xf>
    <xf numFmtId="0" fontId="3" fillId="0" borderId="0" xfId="1" applyFill="1"/>
    <xf numFmtId="165" fontId="0" fillId="0" borderId="6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0" fontId="9" fillId="4" borderId="0" xfId="0" applyFont="1" applyFill="1" applyAlignment="1">
      <alignment horizontal="center"/>
    </xf>
  </cellXfs>
  <cellStyles count="5">
    <cellStyle name="Hyperlink" xfId="1" builtinId="8"/>
    <cellStyle name="Hyperlink 2" xfId="4"/>
    <cellStyle name="Hyperlink 3" xfId="3"/>
    <cellStyle name="Normal" xfId="0" builtinId="0"/>
    <cellStyle name="Normal 3" xfId="2"/>
  </cellStyles>
  <dxfs count="0"/>
  <tableStyles count="0" defaultTableStyle="TableStyleMedium2" defaultPivotStyle="PivotStyleLight16"/>
  <colors>
    <mruColors>
      <color rgb="FFF5F5F5"/>
      <color rgb="FF0095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showGridLines="0" topLeftCell="A13" workbookViewId="0">
      <selection activeCell="C23" sqref="C23"/>
    </sheetView>
  </sheetViews>
  <sheetFormatPr defaultColWidth="9.140625" defaultRowHeight="15" x14ac:dyDescent="0.25"/>
  <cols>
    <col min="1" max="1" width="4.7109375" style="1" customWidth="1"/>
    <col min="2" max="2" width="15.7109375" style="1" customWidth="1"/>
    <col min="3" max="3" width="75.7109375" style="1" customWidth="1"/>
    <col min="4" max="16384" width="9.140625" style="1"/>
  </cols>
  <sheetData>
    <row r="1" spans="1:4" ht="20.100000000000001" customHeight="1" x14ac:dyDescent="0.25"/>
    <row r="3" spans="1:4" ht="20.100000000000001" customHeight="1" x14ac:dyDescent="0.25"/>
    <row r="4" spans="1:4" ht="35.1" customHeight="1" x14ac:dyDescent="0.55000000000000004">
      <c r="B4" s="26" t="s">
        <v>6</v>
      </c>
      <c r="C4" s="26"/>
    </row>
    <row r="5" spans="1:4" ht="15" customHeight="1" x14ac:dyDescent="0.25"/>
    <row r="6" spans="1:4" ht="45" customHeight="1" x14ac:dyDescent="0.25">
      <c r="B6" s="27" t="s">
        <v>42</v>
      </c>
      <c r="C6" s="27"/>
    </row>
    <row r="7" spans="1:4" ht="15.95" customHeight="1" x14ac:dyDescent="0.25">
      <c r="B7" s="2" t="s">
        <v>2</v>
      </c>
      <c r="C7" s="3"/>
    </row>
    <row r="8" spans="1:4" ht="15.95" customHeight="1" x14ac:dyDescent="0.25">
      <c r="B8" s="2" t="s">
        <v>3</v>
      </c>
      <c r="C8" s="4">
        <v>44652</v>
      </c>
    </row>
    <row r="9" spans="1:4" ht="15.95" customHeight="1" x14ac:dyDescent="0.25">
      <c r="B9" s="2" t="s">
        <v>4</v>
      </c>
      <c r="C9" s="28"/>
      <c r="D9" s="28"/>
    </row>
    <row r="10" spans="1:4" x14ac:dyDescent="0.25">
      <c r="B10" s="2"/>
      <c r="C10" s="3"/>
    </row>
    <row r="11" spans="1:4" ht="20.25" customHeight="1" x14ac:dyDescent="0.25">
      <c r="B11" s="5" t="s">
        <v>0</v>
      </c>
      <c r="C11" s="6"/>
    </row>
    <row r="12" spans="1:4" ht="15.95" customHeight="1" x14ac:dyDescent="0.25">
      <c r="A12" s="7" t="s">
        <v>1</v>
      </c>
      <c r="B12" s="25" t="s">
        <v>32</v>
      </c>
      <c r="C12" s="9"/>
    </row>
    <row r="13" spans="1:4" ht="15.95" customHeight="1" x14ac:dyDescent="0.25">
      <c r="A13" s="7" t="s">
        <v>1</v>
      </c>
      <c r="B13" s="25" t="s">
        <v>33</v>
      </c>
      <c r="C13" s="9"/>
    </row>
    <row r="14" spans="1:4" ht="15.95" customHeight="1" x14ac:dyDescent="0.25">
      <c r="A14" s="7" t="s">
        <v>1</v>
      </c>
      <c r="B14" s="25" t="s">
        <v>34</v>
      </c>
      <c r="C14" s="9"/>
    </row>
    <row r="15" spans="1:4" ht="15.95" customHeight="1" x14ac:dyDescent="0.25">
      <c r="A15" s="7" t="s">
        <v>1</v>
      </c>
      <c r="B15" s="25" t="s">
        <v>35</v>
      </c>
      <c r="C15" s="9"/>
    </row>
    <row r="16" spans="1:4" ht="15.95" customHeight="1" x14ac:dyDescent="0.25">
      <c r="A16" s="7" t="s">
        <v>1</v>
      </c>
      <c r="B16" s="25" t="s">
        <v>36</v>
      </c>
      <c r="C16" s="9"/>
    </row>
    <row r="17" spans="1:7" ht="15.95" customHeight="1" x14ac:dyDescent="0.25">
      <c r="A17" s="7" t="s">
        <v>1</v>
      </c>
      <c r="B17" s="25" t="s">
        <v>37</v>
      </c>
      <c r="C17" s="9"/>
    </row>
    <row r="18" spans="1:7" s="8" customFormat="1" ht="15.95" customHeight="1" x14ac:dyDescent="0.25">
      <c r="A18" s="7" t="s">
        <v>1</v>
      </c>
      <c r="B18" s="25" t="s">
        <v>38</v>
      </c>
      <c r="C18" s="9"/>
    </row>
    <row r="19" spans="1:7" s="8" customFormat="1" ht="15.95" customHeight="1" x14ac:dyDescent="0.25">
      <c r="A19" s="7" t="s">
        <v>1</v>
      </c>
      <c r="B19" s="25" t="s">
        <v>39</v>
      </c>
      <c r="C19" s="9"/>
    </row>
    <row r="20" spans="1:7" s="8" customFormat="1" x14ac:dyDescent="0.25"/>
    <row r="22" spans="1:7" x14ac:dyDescent="0.25">
      <c r="G22" s="1" t="s">
        <v>5</v>
      </c>
    </row>
  </sheetData>
  <mergeCells count="3">
    <mergeCell ref="B4:C4"/>
    <mergeCell ref="B6:C6"/>
    <mergeCell ref="C9:D9"/>
  </mergeCells>
  <hyperlinks>
    <hyperlink ref="B12" location="'Basic formula'!A1" display="Basic SUMIF formula"/>
    <hyperlink ref="B13" location="'SUMIF greater than'!A1" display="Sum if greater than or less than"/>
    <hyperlink ref="B14" location="'SUMIF equal to'!A1" display="Sum if equal to"/>
    <hyperlink ref="B15" location="'SUMIF not equal to'!A1" display="Sum if not equal to"/>
    <hyperlink ref="B16" location="'SUMIF not blank'!A1" display="Sum if not blank"/>
    <hyperlink ref="B17" location="'SUMIF blank'!A1" display="Sum if blank"/>
    <hyperlink ref="B18" location="'SUMIF wildcards'!A1" display="Sum if cell contains specific text"/>
    <hyperlink ref="B19" location="'SUMIF with dates'!A1" display="SUMIF with dates as criteria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F5" sqref="F5"/>
    </sheetView>
  </sheetViews>
  <sheetFormatPr defaultRowHeight="15" x14ac:dyDescent="0.25"/>
  <sheetData>
    <row r="1" spans="1:6" x14ac:dyDescent="0.25">
      <c r="A1" s="11" t="s">
        <v>8</v>
      </c>
      <c r="B1" s="11" t="s">
        <v>7</v>
      </c>
      <c r="C1" s="11" t="s">
        <v>9</v>
      </c>
      <c r="E1" s="13" t="s">
        <v>7</v>
      </c>
      <c r="F1" s="12" t="s">
        <v>14</v>
      </c>
    </row>
    <row r="2" spans="1:6" x14ac:dyDescent="0.25">
      <c r="A2" t="s">
        <v>12</v>
      </c>
      <c r="B2" t="s">
        <v>14</v>
      </c>
      <c r="C2" s="10">
        <v>250</v>
      </c>
      <c r="E2" s="14" t="s">
        <v>9</v>
      </c>
      <c r="F2" s="15">
        <f>SUMIF(B2:B10, F1, C2:C10)</f>
        <v>665</v>
      </c>
    </row>
    <row r="3" spans="1:6" x14ac:dyDescent="0.25">
      <c r="A3" t="s">
        <v>11</v>
      </c>
      <c r="B3" t="s">
        <v>15</v>
      </c>
      <c r="C3" s="10">
        <v>155</v>
      </c>
    </row>
    <row r="4" spans="1:6" x14ac:dyDescent="0.25">
      <c r="A4" t="s">
        <v>12</v>
      </c>
      <c r="B4" t="s">
        <v>16</v>
      </c>
      <c r="C4" s="10">
        <v>130</v>
      </c>
    </row>
    <row r="5" spans="1:6" x14ac:dyDescent="0.25">
      <c r="A5" t="s">
        <v>13</v>
      </c>
      <c r="B5" t="s">
        <v>14</v>
      </c>
      <c r="C5" s="10">
        <v>255</v>
      </c>
    </row>
    <row r="6" spans="1:6" x14ac:dyDescent="0.25">
      <c r="A6" t="s">
        <v>11</v>
      </c>
      <c r="B6" t="s">
        <v>14</v>
      </c>
      <c r="C6" s="10">
        <v>160</v>
      </c>
    </row>
    <row r="7" spans="1:6" x14ac:dyDescent="0.25">
      <c r="A7" t="s">
        <v>12</v>
      </c>
      <c r="B7" t="s">
        <v>15</v>
      </c>
      <c r="C7" s="10">
        <v>280</v>
      </c>
    </row>
    <row r="8" spans="1:6" x14ac:dyDescent="0.25">
      <c r="A8" t="s">
        <v>13</v>
      </c>
      <c r="B8" t="s">
        <v>10</v>
      </c>
      <c r="C8" s="10">
        <v>170</v>
      </c>
    </row>
    <row r="9" spans="1:6" x14ac:dyDescent="0.25">
      <c r="A9" t="s">
        <v>11</v>
      </c>
      <c r="B9" t="s">
        <v>10</v>
      </c>
      <c r="C9" s="10">
        <v>285</v>
      </c>
    </row>
    <row r="10" spans="1:6" x14ac:dyDescent="0.25">
      <c r="A10" t="s">
        <v>11</v>
      </c>
      <c r="B10" t="s">
        <v>16</v>
      </c>
      <c r="C10" s="10">
        <v>110</v>
      </c>
    </row>
    <row r="11" spans="1:6" x14ac:dyDescent="0.25">
      <c r="C11" s="10"/>
    </row>
    <row r="12" spans="1:6" x14ac:dyDescent="0.25">
      <c r="C12" s="10"/>
    </row>
    <row r="13" spans="1:6" x14ac:dyDescent="0.25">
      <c r="C13" s="10"/>
    </row>
    <row r="14" spans="1:6" x14ac:dyDescent="0.25">
      <c r="C14" s="10"/>
    </row>
    <row r="15" spans="1:6" x14ac:dyDescent="0.25">
      <c r="C15" s="10"/>
    </row>
    <row r="16" spans="1:6" x14ac:dyDescent="0.25">
      <c r="C16" s="10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activeCell="B14" sqref="B14"/>
    </sheetView>
  </sheetViews>
  <sheetFormatPr defaultRowHeight="15" x14ac:dyDescent="0.25"/>
  <cols>
    <col min="3" max="3" width="13.85546875" bestFit="1" customWidth="1"/>
    <col min="5" max="5" width="18.5703125" bestFit="1" customWidth="1"/>
  </cols>
  <sheetData>
    <row r="1" spans="1:10" x14ac:dyDescent="0.25">
      <c r="A1" s="11" t="s">
        <v>8</v>
      </c>
      <c r="B1" s="11" t="s">
        <v>9</v>
      </c>
      <c r="C1" s="11" t="s">
        <v>17</v>
      </c>
      <c r="E1" s="16" t="s">
        <v>43</v>
      </c>
      <c r="F1" s="12">
        <v>3</v>
      </c>
    </row>
    <row r="2" spans="1:10" x14ac:dyDescent="0.25">
      <c r="A2" t="s">
        <v>12</v>
      </c>
      <c r="B2" s="10">
        <v>250</v>
      </c>
      <c r="C2" s="18">
        <v>1</v>
      </c>
      <c r="E2" s="17" t="s">
        <v>18</v>
      </c>
      <c r="F2" s="15">
        <f>SUMIF(C2:C10, "&gt;"&amp;F1, B2:B10)</f>
        <v>775</v>
      </c>
      <c r="H2">
        <f>SUMIF(B2:B10,"&gt;=170")</f>
        <v>1240</v>
      </c>
    </row>
    <row r="3" spans="1:10" x14ac:dyDescent="0.25">
      <c r="A3" t="s">
        <v>11</v>
      </c>
      <c r="B3" s="10">
        <v>155</v>
      </c>
      <c r="C3" s="18">
        <v>3</v>
      </c>
      <c r="J3" s="10"/>
    </row>
    <row r="4" spans="1:10" x14ac:dyDescent="0.25">
      <c r="A4" t="s">
        <v>12</v>
      </c>
      <c r="B4" s="10">
        <v>130</v>
      </c>
      <c r="C4" s="18">
        <v>5</v>
      </c>
    </row>
    <row r="5" spans="1:10" x14ac:dyDescent="0.25">
      <c r="A5" t="s">
        <v>13</v>
      </c>
      <c r="B5" s="10">
        <v>255</v>
      </c>
      <c r="C5" s="18">
        <v>7</v>
      </c>
      <c r="E5" s="16" t="s">
        <v>44</v>
      </c>
      <c r="F5" s="12">
        <v>3</v>
      </c>
    </row>
    <row r="6" spans="1:10" x14ac:dyDescent="0.25">
      <c r="A6" t="s">
        <v>11</v>
      </c>
      <c r="B6" s="10">
        <v>160</v>
      </c>
      <c r="C6" s="18">
        <v>3</v>
      </c>
      <c r="E6" s="17" t="s">
        <v>18</v>
      </c>
      <c r="F6" s="15">
        <f>SUMIF(C2:C10, "&lt;"&amp;F5, B2:B10)</f>
        <v>420</v>
      </c>
    </row>
    <row r="7" spans="1:10" x14ac:dyDescent="0.25">
      <c r="A7" t="s">
        <v>12</v>
      </c>
      <c r="B7" s="10">
        <v>280</v>
      </c>
      <c r="C7" s="18">
        <v>5</v>
      </c>
    </row>
    <row r="8" spans="1:10" x14ac:dyDescent="0.25">
      <c r="A8" t="s">
        <v>13</v>
      </c>
      <c r="B8" s="10">
        <v>170</v>
      </c>
      <c r="C8" s="18">
        <v>1</v>
      </c>
    </row>
    <row r="9" spans="1:10" x14ac:dyDescent="0.25">
      <c r="A9" t="s">
        <v>11</v>
      </c>
      <c r="B9" s="10">
        <v>285</v>
      </c>
      <c r="C9" s="18">
        <v>3</v>
      </c>
    </row>
    <row r="10" spans="1:10" x14ac:dyDescent="0.25">
      <c r="A10" t="s">
        <v>11</v>
      </c>
      <c r="B10" s="10">
        <v>110</v>
      </c>
      <c r="C10" s="18">
        <v>4</v>
      </c>
    </row>
    <row r="11" spans="1:10" x14ac:dyDescent="0.25">
      <c r="B11" s="10"/>
      <c r="C11" s="10"/>
    </row>
    <row r="12" spans="1:10" x14ac:dyDescent="0.25">
      <c r="B12" s="10"/>
      <c r="C12" s="10"/>
    </row>
    <row r="13" spans="1:10" x14ac:dyDescent="0.25">
      <c r="B13" s="10"/>
      <c r="C13" s="10"/>
    </row>
    <row r="14" spans="1:10" x14ac:dyDescent="0.25">
      <c r="B14" s="10"/>
      <c r="C14" s="10"/>
    </row>
    <row r="15" spans="1:10" x14ac:dyDescent="0.25">
      <c r="B15" s="10"/>
      <c r="C15" s="10"/>
    </row>
    <row r="16" spans="1:10" x14ac:dyDescent="0.25">
      <c r="B16" s="10"/>
      <c r="C16" s="10"/>
    </row>
  </sheetData>
  <autoFilter ref="A1:C10"/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F2" sqref="F2"/>
    </sheetView>
  </sheetViews>
  <sheetFormatPr defaultRowHeight="15" x14ac:dyDescent="0.25"/>
  <cols>
    <col min="3" max="3" width="13.85546875" bestFit="1" customWidth="1"/>
    <col min="5" max="5" width="10.42578125" bestFit="1" customWidth="1"/>
  </cols>
  <sheetData>
    <row r="1" spans="1:6" x14ac:dyDescent="0.25">
      <c r="A1" s="11" t="s">
        <v>8</v>
      </c>
      <c r="B1" s="11" t="s">
        <v>9</v>
      </c>
      <c r="C1" s="11" t="s">
        <v>17</v>
      </c>
      <c r="E1" s="16" t="s">
        <v>8</v>
      </c>
      <c r="F1" s="12" t="s">
        <v>11</v>
      </c>
    </row>
    <row r="2" spans="1:6" x14ac:dyDescent="0.25">
      <c r="A2" t="s">
        <v>12</v>
      </c>
      <c r="B2" s="10">
        <v>250</v>
      </c>
      <c r="C2" s="18">
        <v>1</v>
      </c>
      <c r="E2" s="17" t="s">
        <v>18</v>
      </c>
      <c r="F2" s="15">
        <f>SUMIF(A2:A10, F1, B2:B10)</f>
        <v>710</v>
      </c>
    </row>
    <row r="3" spans="1:6" x14ac:dyDescent="0.25">
      <c r="A3" t="s">
        <v>11</v>
      </c>
      <c r="B3" s="10">
        <v>155</v>
      </c>
      <c r="C3" s="18">
        <v>3</v>
      </c>
      <c r="F3" s="10"/>
    </row>
    <row r="4" spans="1:6" x14ac:dyDescent="0.25">
      <c r="A4" t="s">
        <v>12</v>
      </c>
      <c r="B4" s="10">
        <v>130</v>
      </c>
      <c r="C4" s="18">
        <v>5</v>
      </c>
    </row>
    <row r="5" spans="1:6" x14ac:dyDescent="0.25">
      <c r="A5" t="s">
        <v>13</v>
      </c>
      <c r="B5" s="10">
        <v>255</v>
      </c>
      <c r="C5" s="18">
        <v>7</v>
      </c>
      <c r="E5" s="16" t="s">
        <v>40</v>
      </c>
      <c r="F5" s="12">
        <v>3</v>
      </c>
    </row>
    <row r="6" spans="1:6" x14ac:dyDescent="0.25">
      <c r="A6" t="s">
        <v>11</v>
      </c>
      <c r="B6" s="10">
        <v>160</v>
      </c>
      <c r="C6" s="18">
        <v>3</v>
      </c>
      <c r="E6" s="17" t="s">
        <v>18</v>
      </c>
      <c r="F6" s="15">
        <f>SUMIF(C2:C10, F5, B2:B10)</f>
        <v>600</v>
      </c>
    </row>
    <row r="7" spans="1:6" x14ac:dyDescent="0.25">
      <c r="A7" t="s">
        <v>12</v>
      </c>
      <c r="B7" s="10">
        <v>280</v>
      </c>
      <c r="C7" s="18">
        <v>5</v>
      </c>
    </row>
    <row r="8" spans="1:6" x14ac:dyDescent="0.25">
      <c r="A8" t="s">
        <v>13</v>
      </c>
      <c r="B8" s="10">
        <v>170</v>
      </c>
      <c r="C8" s="18">
        <v>1</v>
      </c>
    </row>
    <row r="9" spans="1:6" x14ac:dyDescent="0.25">
      <c r="A9" t="s">
        <v>11</v>
      </c>
      <c r="B9" s="10">
        <v>285</v>
      </c>
      <c r="C9" s="18">
        <v>3</v>
      </c>
    </row>
    <row r="10" spans="1:6" x14ac:dyDescent="0.25">
      <c r="A10" t="s">
        <v>11</v>
      </c>
      <c r="B10" s="10">
        <v>110</v>
      </c>
      <c r="C10" s="18">
        <v>4</v>
      </c>
    </row>
    <row r="11" spans="1:6" x14ac:dyDescent="0.25">
      <c r="B11" s="10"/>
    </row>
    <row r="12" spans="1:6" x14ac:dyDescent="0.25">
      <c r="B12" s="10"/>
    </row>
    <row r="13" spans="1:6" x14ac:dyDescent="0.25">
      <c r="B13" s="10"/>
    </row>
    <row r="14" spans="1:6" x14ac:dyDescent="0.25">
      <c r="B14" s="10"/>
    </row>
    <row r="15" spans="1:6" x14ac:dyDescent="0.25">
      <c r="B15" s="10"/>
    </row>
    <row r="16" spans="1:6" x14ac:dyDescent="0.25">
      <c r="B16" s="10"/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F8" sqref="F8"/>
    </sheetView>
  </sheetViews>
  <sheetFormatPr defaultRowHeight="15" x14ac:dyDescent="0.25"/>
  <cols>
    <col min="3" max="3" width="13.85546875" customWidth="1"/>
    <col min="4" max="4" width="9.140625" customWidth="1"/>
    <col min="5" max="5" width="11.7109375" customWidth="1"/>
  </cols>
  <sheetData>
    <row r="1" spans="1:9" x14ac:dyDescent="0.25">
      <c r="A1" s="11" t="s">
        <v>8</v>
      </c>
      <c r="B1" s="11" t="s">
        <v>9</v>
      </c>
      <c r="C1" s="11" t="s">
        <v>17</v>
      </c>
      <c r="E1" s="16" t="s">
        <v>20</v>
      </c>
      <c r="F1" s="12" t="s">
        <v>11</v>
      </c>
    </row>
    <row r="2" spans="1:9" x14ac:dyDescent="0.25">
      <c r="A2" t="s">
        <v>12</v>
      </c>
      <c r="B2" s="10">
        <v>250</v>
      </c>
      <c r="C2" s="18">
        <v>1</v>
      </c>
      <c r="E2" s="17" t="s">
        <v>18</v>
      </c>
      <c r="F2" s="15">
        <f>SUMIF(A2:A10, "&lt;&gt;"&amp;F1, B2:B10)</f>
        <v>1085</v>
      </c>
    </row>
    <row r="3" spans="1:9" x14ac:dyDescent="0.25">
      <c r="A3" t="s">
        <v>11</v>
      </c>
      <c r="B3" s="10">
        <v>155</v>
      </c>
      <c r="C3" s="18">
        <v>3</v>
      </c>
      <c r="E3" s="19"/>
      <c r="F3" s="20"/>
      <c r="I3" s="10"/>
    </row>
    <row r="4" spans="1:9" x14ac:dyDescent="0.25">
      <c r="A4" t="s">
        <v>12</v>
      </c>
      <c r="B4" s="10">
        <v>130</v>
      </c>
      <c r="C4" s="18">
        <v>5</v>
      </c>
    </row>
    <row r="5" spans="1:9" x14ac:dyDescent="0.25">
      <c r="A5" t="s">
        <v>13</v>
      </c>
      <c r="B5" s="10">
        <v>255</v>
      </c>
      <c r="C5" s="18">
        <v>7</v>
      </c>
      <c r="E5" s="16" t="s">
        <v>19</v>
      </c>
      <c r="F5" s="12">
        <v>3</v>
      </c>
    </row>
    <row r="6" spans="1:9" x14ac:dyDescent="0.25">
      <c r="A6" t="s">
        <v>11</v>
      </c>
      <c r="B6" s="10">
        <v>160</v>
      </c>
      <c r="C6" s="18">
        <v>3</v>
      </c>
      <c r="E6" s="17" t="s">
        <v>18</v>
      </c>
      <c r="F6" s="15">
        <f>SUMIF(C2:C10, "&lt;&gt;"&amp;F5, B2:B10)</f>
        <v>1195</v>
      </c>
    </row>
    <row r="7" spans="1:9" x14ac:dyDescent="0.25">
      <c r="A7" t="s">
        <v>12</v>
      </c>
      <c r="B7" s="10">
        <v>280</v>
      </c>
      <c r="C7" s="18">
        <v>5</v>
      </c>
      <c r="F7" s="20"/>
    </row>
    <row r="8" spans="1:9" x14ac:dyDescent="0.25">
      <c r="A8" t="s">
        <v>13</v>
      </c>
      <c r="B8" s="10">
        <v>170</v>
      </c>
      <c r="C8" s="18">
        <v>1</v>
      </c>
    </row>
    <row r="9" spans="1:9" x14ac:dyDescent="0.25">
      <c r="A9" t="s">
        <v>11</v>
      </c>
      <c r="B9" s="10">
        <v>285</v>
      </c>
      <c r="C9" s="18">
        <v>3</v>
      </c>
    </row>
    <row r="10" spans="1:9" x14ac:dyDescent="0.25">
      <c r="A10" t="s">
        <v>11</v>
      </c>
      <c r="B10" s="10">
        <v>110</v>
      </c>
      <c r="C10" s="18">
        <v>4</v>
      </c>
    </row>
    <row r="11" spans="1:9" x14ac:dyDescent="0.25">
      <c r="B11" s="10"/>
      <c r="C11" s="10"/>
      <c r="D11" s="10"/>
    </row>
    <row r="12" spans="1:9" x14ac:dyDescent="0.25">
      <c r="B12" s="10"/>
      <c r="C12" s="10"/>
    </row>
    <row r="13" spans="1:9" x14ac:dyDescent="0.25">
      <c r="B13" s="10"/>
      <c r="C13" s="10"/>
    </row>
    <row r="14" spans="1:9" x14ac:dyDescent="0.25">
      <c r="B14" s="10"/>
      <c r="C14" s="10"/>
    </row>
    <row r="15" spans="1:9" x14ac:dyDescent="0.25">
      <c r="B15" s="10"/>
      <c r="C15" s="10"/>
    </row>
    <row r="16" spans="1:9" x14ac:dyDescent="0.25">
      <c r="B16" s="10"/>
      <c r="C16" s="10"/>
    </row>
    <row r="19" spans="9:9" x14ac:dyDescent="0.25">
      <c r="I19" t="s">
        <v>5</v>
      </c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F2" sqref="F2"/>
    </sheetView>
  </sheetViews>
  <sheetFormatPr defaultRowHeight="15" x14ac:dyDescent="0.25"/>
  <cols>
    <col min="2" max="2" width="14.140625" bestFit="1" customWidth="1"/>
    <col min="6" max="6" width="12" customWidth="1"/>
  </cols>
  <sheetData>
    <row r="1" spans="1:7" x14ac:dyDescent="0.25">
      <c r="A1" s="11" t="s">
        <v>8</v>
      </c>
      <c r="B1" s="11" t="s">
        <v>7</v>
      </c>
      <c r="C1" s="11" t="s">
        <v>9</v>
      </c>
      <c r="E1" s="13" t="s">
        <v>7</v>
      </c>
      <c r="F1" s="12" t="s">
        <v>41</v>
      </c>
    </row>
    <row r="2" spans="1:7" x14ac:dyDescent="0.25">
      <c r="A2" t="s">
        <v>12</v>
      </c>
      <c r="B2" t="s">
        <v>22</v>
      </c>
      <c r="C2" s="10">
        <v>250</v>
      </c>
      <c r="E2" s="14" t="s">
        <v>9</v>
      </c>
      <c r="F2" s="15">
        <f>SUMIF(B2:B10, "&lt;&gt;", C2:D10)</f>
        <v>1495</v>
      </c>
    </row>
    <row r="3" spans="1:7" x14ac:dyDescent="0.25">
      <c r="A3" t="s">
        <v>11</v>
      </c>
      <c r="B3" t="s">
        <v>15</v>
      </c>
      <c r="C3" s="10">
        <v>155</v>
      </c>
    </row>
    <row r="4" spans="1:7" x14ac:dyDescent="0.25">
      <c r="A4" t="s">
        <v>12</v>
      </c>
      <c r="C4" s="10">
        <v>130</v>
      </c>
    </row>
    <row r="5" spans="1:7" x14ac:dyDescent="0.25">
      <c r="A5" t="s">
        <v>13</v>
      </c>
      <c r="B5" t="s">
        <v>23</v>
      </c>
      <c r="C5" s="10">
        <v>255</v>
      </c>
      <c r="G5" s="10"/>
    </row>
    <row r="6" spans="1:7" x14ac:dyDescent="0.25">
      <c r="A6" t="s">
        <v>11</v>
      </c>
      <c r="B6" t="s">
        <v>14</v>
      </c>
      <c r="C6" s="10">
        <v>160</v>
      </c>
    </row>
    <row r="7" spans="1:7" x14ac:dyDescent="0.25">
      <c r="A7" t="s">
        <v>12</v>
      </c>
      <c r="B7" t="s">
        <v>24</v>
      </c>
      <c r="C7" s="10">
        <v>280</v>
      </c>
    </row>
    <row r="8" spans="1:7" x14ac:dyDescent="0.25">
      <c r="A8" t="s">
        <v>13</v>
      </c>
      <c r="C8" s="10">
        <v>170</v>
      </c>
    </row>
    <row r="9" spans="1:7" x14ac:dyDescent="0.25">
      <c r="A9" t="s">
        <v>11</v>
      </c>
      <c r="B9" t="s">
        <v>21</v>
      </c>
      <c r="C9" s="10">
        <v>285</v>
      </c>
    </row>
    <row r="10" spans="1:7" x14ac:dyDescent="0.25">
      <c r="A10" t="s">
        <v>11</v>
      </c>
      <c r="B10" t="s">
        <v>22</v>
      </c>
      <c r="C10" s="10">
        <v>110</v>
      </c>
    </row>
    <row r="11" spans="1:7" x14ac:dyDescent="0.25">
      <c r="C11" s="10"/>
    </row>
    <row r="12" spans="1:7" x14ac:dyDescent="0.25">
      <c r="C12" s="10"/>
    </row>
    <row r="13" spans="1:7" x14ac:dyDescent="0.25">
      <c r="C13" s="10"/>
    </row>
    <row r="14" spans="1:7" x14ac:dyDescent="0.25">
      <c r="C14" s="10"/>
    </row>
    <row r="15" spans="1:7" x14ac:dyDescent="0.25">
      <c r="C15" s="10"/>
    </row>
    <row r="16" spans="1:7" x14ac:dyDescent="0.25">
      <c r="C16" s="10"/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F2" sqref="F2"/>
    </sheetView>
  </sheetViews>
  <sheetFormatPr defaultRowHeight="15" x14ac:dyDescent="0.25"/>
  <cols>
    <col min="2" max="2" width="14.140625" bestFit="1" customWidth="1"/>
    <col min="6" max="6" width="12" customWidth="1"/>
  </cols>
  <sheetData>
    <row r="1" spans="1:7" x14ac:dyDescent="0.25">
      <c r="A1" s="11" t="s">
        <v>8</v>
      </c>
      <c r="B1" s="11" t="s">
        <v>7</v>
      </c>
      <c r="C1" s="11" t="s">
        <v>9</v>
      </c>
      <c r="E1" s="13" t="s">
        <v>7</v>
      </c>
      <c r="F1" s="12" t="s">
        <v>28</v>
      </c>
    </row>
    <row r="2" spans="1:7" x14ac:dyDescent="0.25">
      <c r="A2" t="s">
        <v>12</v>
      </c>
      <c r="B2" t="s">
        <v>22</v>
      </c>
      <c r="C2" s="10">
        <v>250</v>
      </c>
      <c r="E2" s="14" t="s">
        <v>9</v>
      </c>
      <c r="F2" s="15">
        <f>SUMIF(B2:B10, "", C2:D10)</f>
        <v>300</v>
      </c>
    </row>
    <row r="3" spans="1:7" x14ac:dyDescent="0.25">
      <c r="A3" t="s">
        <v>11</v>
      </c>
      <c r="B3" t="s">
        <v>15</v>
      </c>
      <c r="C3" s="10">
        <v>155</v>
      </c>
    </row>
    <row r="4" spans="1:7" x14ac:dyDescent="0.25">
      <c r="A4" t="s">
        <v>12</v>
      </c>
      <c r="C4" s="10">
        <v>130</v>
      </c>
    </row>
    <row r="5" spans="1:7" x14ac:dyDescent="0.25">
      <c r="A5" t="s">
        <v>13</v>
      </c>
      <c r="B5" t="s">
        <v>23</v>
      </c>
      <c r="C5" s="10">
        <v>255</v>
      </c>
      <c r="G5" s="10"/>
    </row>
    <row r="6" spans="1:7" x14ac:dyDescent="0.25">
      <c r="A6" t="s">
        <v>11</v>
      </c>
      <c r="B6" t="s">
        <v>14</v>
      </c>
      <c r="C6" s="10">
        <v>160</v>
      </c>
    </row>
    <row r="7" spans="1:7" x14ac:dyDescent="0.25">
      <c r="A7" t="s">
        <v>12</v>
      </c>
      <c r="B7" t="s">
        <v>24</v>
      </c>
      <c r="C7" s="10">
        <v>280</v>
      </c>
    </row>
    <row r="8" spans="1:7" x14ac:dyDescent="0.25">
      <c r="A8" t="s">
        <v>13</v>
      </c>
      <c r="C8" s="10">
        <v>170</v>
      </c>
    </row>
    <row r="9" spans="1:7" x14ac:dyDescent="0.25">
      <c r="A9" t="s">
        <v>11</v>
      </c>
      <c r="B9" t="s">
        <v>21</v>
      </c>
      <c r="C9" s="10">
        <v>285</v>
      </c>
    </row>
    <row r="10" spans="1:7" x14ac:dyDescent="0.25">
      <c r="A10" t="s">
        <v>11</v>
      </c>
      <c r="B10" t="s">
        <v>22</v>
      </c>
      <c r="C10" s="10">
        <v>110</v>
      </c>
    </row>
    <row r="11" spans="1:7" x14ac:dyDescent="0.25">
      <c r="C11" s="10"/>
    </row>
    <row r="12" spans="1:7" x14ac:dyDescent="0.25">
      <c r="C12" s="10"/>
    </row>
    <row r="13" spans="1:7" x14ac:dyDescent="0.25">
      <c r="C13" s="10"/>
    </row>
    <row r="14" spans="1:7" x14ac:dyDescent="0.25">
      <c r="C14" s="10"/>
    </row>
    <row r="15" spans="1:7" x14ac:dyDescent="0.25">
      <c r="C15" s="10"/>
    </row>
    <row r="16" spans="1:7" x14ac:dyDescent="0.25">
      <c r="C16" s="10"/>
    </row>
  </sheetData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F2" sqref="F2"/>
    </sheetView>
  </sheetViews>
  <sheetFormatPr defaultRowHeight="15" x14ac:dyDescent="0.25"/>
  <cols>
    <col min="2" max="2" width="14.140625" bestFit="1" customWidth="1"/>
  </cols>
  <sheetData>
    <row r="1" spans="1:7" x14ac:dyDescent="0.25">
      <c r="A1" s="11" t="s">
        <v>8</v>
      </c>
      <c r="B1" s="11" t="s">
        <v>7</v>
      </c>
      <c r="C1" s="11" t="s">
        <v>9</v>
      </c>
      <c r="E1" s="13" t="s">
        <v>7</v>
      </c>
      <c r="F1" s="12" t="s">
        <v>14</v>
      </c>
    </row>
    <row r="2" spans="1:7" x14ac:dyDescent="0.25">
      <c r="A2" t="s">
        <v>12</v>
      </c>
      <c r="B2" t="s">
        <v>22</v>
      </c>
      <c r="C2" s="10">
        <v>250</v>
      </c>
      <c r="E2" s="14" t="s">
        <v>9</v>
      </c>
      <c r="F2" s="15">
        <f>SUMIF(B2:B10, F1&amp;"*", C2:C10)</f>
        <v>775</v>
      </c>
    </row>
    <row r="3" spans="1:7" x14ac:dyDescent="0.25">
      <c r="A3" t="s">
        <v>11</v>
      </c>
      <c r="B3" t="s">
        <v>15</v>
      </c>
      <c r="C3" s="10">
        <v>155</v>
      </c>
    </row>
    <row r="4" spans="1:7" x14ac:dyDescent="0.25">
      <c r="A4" t="s">
        <v>12</v>
      </c>
      <c r="B4" t="s">
        <v>25</v>
      </c>
      <c r="C4" s="10">
        <v>130</v>
      </c>
    </row>
    <row r="5" spans="1:7" x14ac:dyDescent="0.25">
      <c r="A5" t="s">
        <v>13</v>
      </c>
      <c r="B5" t="s">
        <v>23</v>
      </c>
      <c r="C5" s="10">
        <v>255</v>
      </c>
      <c r="E5" s="13" t="s">
        <v>7</v>
      </c>
      <c r="F5" s="12" t="s">
        <v>27</v>
      </c>
      <c r="G5" s="10"/>
    </row>
    <row r="6" spans="1:7" x14ac:dyDescent="0.25">
      <c r="A6" t="s">
        <v>11</v>
      </c>
      <c r="B6" t="s">
        <v>14</v>
      </c>
      <c r="C6" s="10">
        <v>160</v>
      </c>
      <c r="E6" s="14" t="s">
        <v>9</v>
      </c>
      <c r="F6" s="15">
        <f>SUMIF(B2:B10, "*"&amp;"~"&amp;F5, C2:C10)</f>
        <v>300</v>
      </c>
    </row>
    <row r="7" spans="1:7" x14ac:dyDescent="0.25">
      <c r="A7" t="s">
        <v>12</v>
      </c>
      <c r="B7" t="s">
        <v>24</v>
      </c>
      <c r="C7" s="10">
        <v>280</v>
      </c>
    </row>
    <row r="8" spans="1:7" x14ac:dyDescent="0.25">
      <c r="A8" t="s">
        <v>13</v>
      </c>
      <c r="B8" t="s">
        <v>26</v>
      </c>
      <c r="C8" s="10">
        <v>170</v>
      </c>
    </row>
    <row r="9" spans="1:7" x14ac:dyDescent="0.25">
      <c r="A9" t="s">
        <v>11</v>
      </c>
      <c r="B9" t="s">
        <v>21</v>
      </c>
      <c r="C9" s="10">
        <v>285</v>
      </c>
    </row>
    <row r="10" spans="1:7" x14ac:dyDescent="0.25">
      <c r="A10" t="s">
        <v>11</v>
      </c>
      <c r="B10" t="s">
        <v>22</v>
      </c>
      <c r="C10" s="10">
        <v>110</v>
      </c>
    </row>
    <row r="11" spans="1:7" x14ac:dyDescent="0.25">
      <c r="C11" s="10"/>
    </row>
    <row r="12" spans="1:7" x14ac:dyDescent="0.25">
      <c r="C12" s="10"/>
    </row>
    <row r="13" spans="1:7" x14ac:dyDescent="0.25">
      <c r="C13" s="10"/>
    </row>
    <row r="14" spans="1:7" x14ac:dyDescent="0.25">
      <c r="C14" s="10"/>
    </row>
    <row r="15" spans="1:7" x14ac:dyDescent="0.25">
      <c r="C15" s="10"/>
    </row>
    <row r="16" spans="1:7" x14ac:dyDescent="0.25">
      <c r="C16" s="10"/>
    </row>
  </sheetData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selection activeCell="H2" sqref="H2"/>
    </sheetView>
  </sheetViews>
  <sheetFormatPr defaultRowHeight="15" x14ac:dyDescent="0.25"/>
  <cols>
    <col min="3" max="3" width="14.5703125" customWidth="1"/>
    <col min="5" max="5" width="17.42578125" customWidth="1"/>
    <col min="6" max="6" width="10.5703125" customWidth="1"/>
    <col min="8" max="8" width="10.5703125" bestFit="1" customWidth="1"/>
    <col min="9" max="10" width="9.7109375" bestFit="1" customWidth="1"/>
  </cols>
  <sheetData>
    <row r="1" spans="1:10" x14ac:dyDescent="0.25">
      <c r="A1" s="11" t="s">
        <v>8</v>
      </c>
      <c r="B1" s="11" t="s">
        <v>9</v>
      </c>
      <c r="C1" s="11" t="s">
        <v>29</v>
      </c>
      <c r="E1" s="16" t="s">
        <v>30</v>
      </c>
      <c r="F1" s="22">
        <v>44084</v>
      </c>
      <c r="H1" s="16" t="s">
        <v>31</v>
      </c>
      <c r="I1" s="23">
        <v>44084</v>
      </c>
      <c r="J1" s="24">
        <v>44094</v>
      </c>
    </row>
    <row r="2" spans="1:10" x14ac:dyDescent="0.25">
      <c r="A2" t="s">
        <v>12</v>
      </c>
      <c r="B2" s="10">
        <v>250</v>
      </c>
      <c r="C2" s="21">
        <v>44076</v>
      </c>
      <c r="E2" s="17" t="s">
        <v>18</v>
      </c>
      <c r="F2" s="15">
        <f>SUMIF(C2:C10, "&lt;"&amp;F1, B2:B10)</f>
        <v>1100</v>
      </c>
      <c r="H2" s="17" t="s">
        <v>18</v>
      </c>
      <c r="I2" s="29">
        <f>SUMIFS(B2:B10,C2:C10,"&gt;="&amp;I1,C2:C10,"&lt;="&amp;J1)</f>
        <v>695</v>
      </c>
      <c r="J2" s="30"/>
    </row>
    <row r="3" spans="1:10" x14ac:dyDescent="0.25">
      <c r="A3" t="s">
        <v>11</v>
      </c>
      <c r="B3" s="10">
        <v>155</v>
      </c>
      <c r="C3" s="21">
        <v>44077</v>
      </c>
      <c r="I3" s="10"/>
    </row>
    <row r="4" spans="1:10" x14ac:dyDescent="0.25">
      <c r="A4" t="s">
        <v>12</v>
      </c>
      <c r="B4" s="10">
        <v>130</v>
      </c>
      <c r="C4" s="21">
        <v>44077</v>
      </c>
    </row>
    <row r="5" spans="1:10" x14ac:dyDescent="0.25">
      <c r="A5" t="s">
        <v>13</v>
      </c>
      <c r="B5" s="10">
        <v>255</v>
      </c>
      <c r="C5" s="21">
        <v>44084</v>
      </c>
    </row>
    <row r="6" spans="1:10" x14ac:dyDescent="0.25">
      <c r="A6" t="s">
        <v>11</v>
      </c>
      <c r="B6" s="10">
        <v>160</v>
      </c>
      <c r="C6" s="21">
        <v>44085</v>
      </c>
    </row>
    <row r="7" spans="1:10" x14ac:dyDescent="0.25">
      <c r="A7" t="s">
        <v>12</v>
      </c>
      <c r="B7" s="10">
        <v>280</v>
      </c>
      <c r="C7" s="21">
        <v>44082</v>
      </c>
    </row>
    <row r="8" spans="1:10" x14ac:dyDescent="0.25">
      <c r="A8" t="s">
        <v>13</v>
      </c>
      <c r="B8" s="10">
        <v>170</v>
      </c>
      <c r="C8" s="21">
        <v>44094</v>
      </c>
    </row>
    <row r="9" spans="1:10" x14ac:dyDescent="0.25">
      <c r="A9" t="s">
        <v>11</v>
      </c>
      <c r="B9" s="10">
        <v>285</v>
      </c>
      <c r="C9" s="21">
        <v>44083</v>
      </c>
    </row>
    <row r="10" spans="1:10" x14ac:dyDescent="0.25">
      <c r="A10" t="s">
        <v>11</v>
      </c>
      <c r="B10" s="10">
        <v>110</v>
      </c>
      <c r="C10" s="21">
        <v>44084</v>
      </c>
    </row>
    <row r="11" spans="1:10" x14ac:dyDescent="0.25">
      <c r="B11" s="10"/>
      <c r="C11" s="10"/>
    </row>
    <row r="12" spans="1:10" x14ac:dyDescent="0.25">
      <c r="B12" s="10"/>
      <c r="C12" s="10"/>
    </row>
    <row r="13" spans="1:10" x14ac:dyDescent="0.25">
      <c r="B13" s="10"/>
      <c r="C13" s="10"/>
    </row>
    <row r="14" spans="1:10" x14ac:dyDescent="0.25">
      <c r="B14" s="10"/>
      <c r="C14" s="10"/>
    </row>
    <row r="15" spans="1:10" x14ac:dyDescent="0.25">
      <c r="B15" s="10"/>
      <c r="C15" s="10"/>
    </row>
    <row r="16" spans="1:10" x14ac:dyDescent="0.25">
      <c r="B16" s="10"/>
      <c r="C16" s="10"/>
    </row>
    <row r="17" spans="3:3" x14ac:dyDescent="0.25">
      <c r="C17" s="10"/>
    </row>
  </sheetData>
  <mergeCells count="1">
    <mergeCell ref="I2:J2"/>
  </mergeCells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7"/>
  <sheetViews>
    <sheetView tabSelected="1" workbookViewId="0">
      <selection activeCell="H7" sqref="H7"/>
    </sheetView>
  </sheetViews>
  <sheetFormatPr defaultRowHeight="15" x14ac:dyDescent="0.25"/>
  <cols>
    <col min="2" max="2" width="11.42578125" bestFit="1" customWidth="1"/>
    <col min="3" max="3" width="19.28515625" bestFit="1" customWidth="1"/>
  </cols>
  <sheetData>
    <row r="1" spans="2:8" ht="15.75" x14ac:dyDescent="0.25">
      <c r="B1" s="31" t="s">
        <v>45</v>
      </c>
      <c r="C1" s="31" t="s">
        <v>8</v>
      </c>
      <c r="D1" s="31" t="s">
        <v>46</v>
      </c>
    </row>
    <row r="2" spans="2:8" x14ac:dyDescent="0.25">
      <c r="B2" t="s">
        <v>47</v>
      </c>
      <c r="C2" t="s">
        <v>48</v>
      </c>
      <c r="D2">
        <v>600</v>
      </c>
      <c r="G2" t="s">
        <v>55</v>
      </c>
      <c r="H2">
        <f>SUMIF(C2:C7,"*T-shirt*",D2:D7)</f>
        <v>2549</v>
      </c>
    </row>
    <row r="3" spans="2:8" x14ac:dyDescent="0.25">
      <c r="B3" t="s">
        <v>47</v>
      </c>
      <c r="C3" t="s">
        <v>51</v>
      </c>
      <c r="D3">
        <v>450</v>
      </c>
    </row>
    <row r="4" spans="2:8" x14ac:dyDescent="0.25">
      <c r="B4" t="s">
        <v>47</v>
      </c>
      <c r="C4" t="s">
        <v>52</v>
      </c>
      <c r="D4">
        <v>530</v>
      </c>
    </row>
    <row r="5" spans="2:8" x14ac:dyDescent="0.25">
      <c r="B5" t="s">
        <v>49</v>
      </c>
      <c r="C5" t="s">
        <v>53</v>
      </c>
      <c r="D5">
        <v>999</v>
      </c>
    </row>
    <row r="6" spans="2:8" x14ac:dyDescent="0.25">
      <c r="B6" t="s">
        <v>49</v>
      </c>
      <c r="C6" t="s">
        <v>52</v>
      </c>
      <c r="D6">
        <v>650</v>
      </c>
    </row>
    <row r="7" spans="2:8" x14ac:dyDescent="0.25">
      <c r="B7" t="s">
        <v>50</v>
      </c>
      <c r="C7" t="s">
        <v>54</v>
      </c>
      <c r="D7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SUMIF function - examples</vt:lpstr>
      <vt:lpstr>Basic formula</vt:lpstr>
      <vt:lpstr>SUMIF greater than</vt:lpstr>
      <vt:lpstr>SUMIF equal to</vt:lpstr>
      <vt:lpstr>SUMIF not equal to</vt:lpstr>
      <vt:lpstr>SUMIF not blank</vt:lpstr>
      <vt:lpstr>SUMIF blank</vt:lpstr>
      <vt:lpstr>SUMIF wildcards</vt:lpstr>
      <vt:lpstr>SUMIF with dates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</dc:creator>
  <cp:lastModifiedBy>hp</cp:lastModifiedBy>
  <dcterms:created xsi:type="dcterms:W3CDTF">2020-09-04T10:24:51Z</dcterms:created>
  <dcterms:modified xsi:type="dcterms:W3CDTF">2025-12-02T01:09:37Z</dcterms:modified>
</cp:coreProperties>
</file>