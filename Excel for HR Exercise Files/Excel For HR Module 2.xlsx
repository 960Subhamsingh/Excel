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Excel\Excel for HR Exercise Files\"/>
    </mc:Choice>
  </mc:AlternateContent>
  <bookViews>
    <workbookView xWindow="0" yWindow="0" windowWidth="20490" windowHeight="7755" activeTab="3"/>
  </bookViews>
  <sheets>
    <sheet name="Table Tools" sheetId="7" r:id="rId1"/>
    <sheet name="Conditional Formatting" sheetId="19" r:id="rId2"/>
    <sheet name="Subtotal" sheetId="8" r:id="rId3"/>
    <sheet name="Sheet2" sheetId="21" r:id="rId4"/>
    <sheet name="hr data" sheetId="20" r:id="rId5"/>
    <sheet name="Data Validation" sheetId="10" r:id="rId6"/>
    <sheet name="Pivot Data" sheetId="11" r:id="rId7"/>
  </sheets>
  <definedNames>
    <definedName name="hr_data" localSheetId="4">'hr data'!$A$1:$M$101</definedName>
  </definedNames>
  <calcPr calcId="152511"/>
  <pivotCaches>
    <pivotCache cacheId="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19" l="1"/>
  <c r="G52" i="19"/>
  <c r="G51" i="19"/>
  <c r="G50" i="19"/>
  <c r="G49" i="19"/>
  <c r="G48" i="19"/>
  <c r="G47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34" i="19"/>
  <c r="G33" i="19"/>
  <c r="G32" i="19"/>
  <c r="G31" i="19"/>
  <c r="G30" i="19"/>
  <c r="G29" i="19"/>
  <c r="G28" i="19"/>
  <c r="G27" i="19"/>
  <c r="G26" i="19"/>
  <c r="G25" i="19"/>
  <c r="G24" i="19"/>
  <c r="G23" i="19"/>
  <c r="G22" i="19"/>
  <c r="G21" i="19"/>
  <c r="G20" i="19"/>
  <c r="G19" i="19"/>
  <c r="G18" i="19"/>
  <c r="G17" i="19"/>
  <c r="G16" i="19"/>
  <c r="G15" i="19"/>
  <c r="G14" i="19"/>
  <c r="G13" i="19"/>
  <c r="G12" i="19"/>
  <c r="G11" i="19"/>
  <c r="G10" i="19"/>
  <c r="G9" i="19"/>
  <c r="G8" i="19"/>
  <c r="G7" i="19"/>
  <c r="G6" i="19"/>
  <c r="G5" i="19"/>
  <c r="G4" i="19"/>
  <c r="G3" i="19"/>
  <c r="F4" i="8" l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3" i="8"/>
  <c r="G36" i="7"/>
  <c r="G19" i="7"/>
  <c r="G29" i="7"/>
  <c r="G47" i="7"/>
  <c r="G39" i="7"/>
  <c r="G46" i="7"/>
  <c r="G5" i="7"/>
  <c r="G8" i="7"/>
  <c r="G43" i="7"/>
  <c r="G50" i="7"/>
  <c r="G20" i="7"/>
  <c r="G27" i="7"/>
  <c r="G51" i="7"/>
  <c r="G45" i="7"/>
  <c r="G14" i="7"/>
  <c r="G21" i="7"/>
  <c r="G33" i="7"/>
  <c r="G4" i="7"/>
  <c r="G37" i="7"/>
  <c r="G22" i="7"/>
  <c r="G42" i="7"/>
  <c r="G26" i="7"/>
  <c r="G48" i="7"/>
  <c r="G34" i="7"/>
  <c r="G3" i="7"/>
  <c r="G25" i="7"/>
  <c r="G23" i="7"/>
  <c r="G15" i="7"/>
  <c r="G24" i="7"/>
  <c r="G49" i="7"/>
  <c r="G10" i="7"/>
  <c r="G52" i="7"/>
  <c r="G7" i="7"/>
  <c r="G11" i="7"/>
  <c r="G17" i="7"/>
  <c r="G13" i="7"/>
  <c r="G38" i="7"/>
  <c r="G40" i="7"/>
  <c r="G44" i="7"/>
  <c r="G12" i="7"/>
  <c r="G6" i="7"/>
  <c r="G31" i="7"/>
  <c r="G32" i="7"/>
  <c r="G9" i="7"/>
  <c r="G35" i="7"/>
  <c r="G16" i="7"/>
  <c r="G28" i="7"/>
  <c r="G41" i="7"/>
  <c r="G53" i="7"/>
  <c r="G30" i="7"/>
  <c r="G18" i="7"/>
</calcChain>
</file>

<file path=xl/connections.xml><?xml version="1.0" encoding="utf-8"?>
<connections xmlns="http://schemas.openxmlformats.org/spreadsheetml/2006/main">
  <connection id="1" name="hr_data" type="6" refreshedVersion="5" background="1" saveData="1">
    <textPr codePage="437" sourceFile="D:\Project\Excel\Excel for HR Exercise Files\hr_data.csv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<sst xmlns="http://schemas.openxmlformats.org/spreadsheetml/2006/main" count="1073" uniqueCount="338">
  <si>
    <t>Emp#</t>
  </si>
  <si>
    <t>Name</t>
  </si>
  <si>
    <t>First</t>
  </si>
  <si>
    <t>Last</t>
  </si>
  <si>
    <t>Hire Date</t>
  </si>
  <si>
    <t>Pay Rate</t>
  </si>
  <si>
    <t>Hours</t>
  </si>
  <si>
    <t>Edwin Johnson</t>
  </si>
  <si>
    <t>Lou Rivas</t>
  </si>
  <si>
    <t>Wade Maynard</t>
  </si>
  <si>
    <t>Rickey Lancaster</t>
  </si>
  <si>
    <t>Kelly Roy</t>
  </si>
  <si>
    <t>Dianne Dillon</t>
  </si>
  <si>
    <t>Mel Estrada</t>
  </si>
  <si>
    <t>Candace Kimball</t>
  </si>
  <si>
    <t>Marcos Abbott</t>
  </si>
  <si>
    <t>Lucille Loomis</t>
  </si>
  <si>
    <t>Antonia More</t>
  </si>
  <si>
    <t>Cecelia Carr</t>
  </si>
  <si>
    <t>Roxanne Rollins</t>
  </si>
  <si>
    <t>Ralph Dunbar</t>
  </si>
  <si>
    <t>Omar Mathews</t>
  </si>
  <si>
    <t>Cheri Kennedy</t>
  </si>
  <si>
    <t>Doug McGrath</t>
  </si>
  <si>
    <t>Carl Howard</t>
  </si>
  <si>
    <t>Bill Crane</t>
  </si>
  <si>
    <t>Van Galloway</t>
  </si>
  <si>
    <t>Cara Stevenson</t>
  </si>
  <si>
    <t>Shelley Moon</t>
  </si>
  <si>
    <t>Howard Webster</t>
  </si>
  <si>
    <t>Derek Fuller</t>
  </si>
  <si>
    <t>Herbert Daley</t>
  </si>
  <si>
    <t>Jacqueline Cordova</t>
  </si>
  <si>
    <t>Brandi Turner</t>
  </si>
  <si>
    <t>Marian Adkins</t>
  </si>
  <si>
    <t>Shari Melendez</t>
  </si>
  <si>
    <t>Janis Thornton</t>
  </si>
  <si>
    <t>Ricky Merritt</t>
  </si>
  <si>
    <t>Hazel Rich</t>
  </si>
  <si>
    <t>Myron Downs</t>
  </si>
  <si>
    <t>Brent Brock</t>
  </si>
  <si>
    <t>Maria White</t>
  </si>
  <si>
    <t>George Gates</t>
  </si>
  <si>
    <t>Cristina Hubbard</t>
  </si>
  <si>
    <t>Sam Gleason</t>
  </si>
  <si>
    <t>Trisha Graham</t>
  </si>
  <si>
    <t>Jesus Golden</t>
  </si>
  <si>
    <t>Ethel Nash</t>
  </si>
  <si>
    <t>Steven Nunez</t>
  </si>
  <si>
    <t>Rodolfo Li</t>
  </si>
  <si>
    <t>Bob Harvey</t>
  </si>
  <si>
    <t>Elisa Chan</t>
  </si>
  <si>
    <t>Sean Tate</t>
  </si>
  <si>
    <t>Pedro Frost</t>
  </si>
  <si>
    <t>Shannon Drew</t>
  </si>
  <si>
    <t>Lonnie Barton</t>
  </si>
  <si>
    <t>Ernie Chandler</t>
  </si>
  <si>
    <t>State</t>
  </si>
  <si>
    <t>ND</t>
  </si>
  <si>
    <t>NV</t>
  </si>
  <si>
    <t>CA</t>
  </si>
  <si>
    <t>TX</t>
  </si>
  <si>
    <t>WA</t>
  </si>
  <si>
    <t>AZ</t>
  </si>
  <si>
    <t>OR</t>
  </si>
  <si>
    <t>LA</t>
  </si>
  <si>
    <t>UT</t>
  </si>
  <si>
    <t>NM</t>
  </si>
  <si>
    <t>ID</t>
  </si>
  <si>
    <t>IA</t>
  </si>
  <si>
    <t>MT</t>
  </si>
  <si>
    <t>Gross Pay</t>
  </si>
  <si>
    <t>Moe Jones</t>
  </si>
  <si>
    <t>Edwin</t>
  </si>
  <si>
    <t>Johnson</t>
  </si>
  <si>
    <t>Lou</t>
  </si>
  <si>
    <t>Rivas</t>
  </si>
  <si>
    <t>Wade</t>
  </si>
  <si>
    <t>Maynard</t>
  </si>
  <si>
    <t>Rickey</t>
  </si>
  <si>
    <t>Lancaster</t>
  </si>
  <si>
    <t>Kelly</t>
  </si>
  <si>
    <t>Roy</t>
  </si>
  <si>
    <t>Dianne</t>
  </si>
  <si>
    <t>Dillon</t>
  </si>
  <si>
    <t>Mel</t>
  </si>
  <si>
    <t>Estrada</t>
  </si>
  <si>
    <t>Candace</t>
  </si>
  <si>
    <t>Kimball</t>
  </si>
  <si>
    <t>Marcos</t>
  </si>
  <si>
    <t>Abbott</t>
  </si>
  <si>
    <t>Lucille</t>
  </si>
  <si>
    <t>Loomis</t>
  </si>
  <si>
    <t>Antonia</t>
  </si>
  <si>
    <t>More</t>
  </si>
  <si>
    <t>Cecelia</t>
  </si>
  <si>
    <t>Carr</t>
  </si>
  <si>
    <t>Roxanne</t>
  </si>
  <si>
    <t>Rollins</t>
  </si>
  <si>
    <t>Ralph</t>
  </si>
  <si>
    <t>Dunbar</t>
  </si>
  <si>
    <t>Omar</t>
  </si>
  <si>
    <t>Mathews</t>
  </si>
  <si>
    <t>Cheri</t>
  </si>
  <si>
    <t>Kennedy</t>
  </si>
  <si>
    <t>Doug</t>
  </si>
  <si>
    <t>McGrath</t>
  </si>
  <si>
    <t>Carl</t>
  </si>
  <si>
    <t>Howard</t>
  </si>
  <si>
    <t>Bill</t>
  </si>
  <si>
    <t>Crane</t>
  </si>
  <si>
    <t>Van</t>
  </si>
  <si>
    <t>Galloway</t>
  </si>
  <si>
    <t>Cara</t>
  </si>
  <si>
    <t>Stevenson</t>
  </si>
  <si>
    <t>Shelley</t>
  </si>
  <si>
    <t>Moon</t>
  </si>
  <si>
    <t>Webster</t>
  </si>
  <si>
    <t>Derek</t>
  </si>
  <si>
    <t>Fuller</t>
  </si>
  <si>
    <t>Herbert</t>
  </si>
  <si>
    <t>Daley</t>
  </si>
  <si>
    <t>Jacqueline</t>
  </si>
  <si>
    <t>Cordova</t>
  </si>
  <si>
    <t>Brandi</t>
  </si>
  <si>
    <t>Turner</t>
  </si>
  <si>
    <t>Marian</t>
  </si>
  <si>
    <t>Adkins</t>
  </si>
  <si>
    <t>Shari</t>
  </si>
  <si>
    <t>Melendez</t>
  </si>
  <si>
    <t>Janis</t>
  </si>
  <si>
    <t>Thornton</t>
  </si>
  <si>
    <t>Ricky</t>
  </si>
  <si>
    <t>Merritt</t>
  </si>
  <si>
    <t>Hazel</t>
  </si>
  <si>
    <t>Rich</t>
  </si>
  <si>
    <t>Myron</t>
  </si>
  <si>
    <t>Downs</t>
  </si>
  <si>
    <t>Brent</t>
  </si>
  <si>
    <t>Brock</t>
  </si>
  <si>
    <t>Maria</t>
  </si>
  <si>
    <t>White</t>
  </si>
  <si>
    <t>George</t>
  </si>
  <si>
    <t>Gates</t>
  </si>
  <si>
    <t>Cristina</t>
  </si>
  <si>
    <t>Hubbard</t>
  </si>
  <si>
    <t>Sam</t>
  </si>
  <si>
    <t>Gleason</t>
  </si>
  <si>
    <t>Trisha</t>
  </si>
  <si>
    <t>Graham</t>
  </si>
  <si>
    <t>Jesus</t>
  </si>
  <si>
    <t>Golden</t>
  </si>
  <si>
    <t>Ethel</t>
  </si>
  <si>
    <t>Nash</t>
  </si>
  <si>
    <t>Steven</t>
  </si>
  <si>
    <t>Nunez</t>
  </si>
  <si>
    <t>Rodolfo</t>
  </si>
  <si>
    <t>Li</t>
  </si>
  <si>
    <t>Bob</t>
  </si>
  <si>
    <t>Harvey</t>
  </si>
  <si>
    <t>Elisa</t>
  </si>
  <si>
    <t>Chan</t>
  </si>
  <si>
    <t>Sean</t>
  </si>
  <si>
    <t>Tate</t>
  </si>
  <si>
    <t>Pedro</t>
  </si>
  <si>
    <t>Frost</t>
  </si>
  <si>
    <t>Shannon</t>
  </si>
  <si>
    <t>Drew</t>
  </si>
  <si>
    <t>Lonnie</t>
  </si>
  <si>
    <t>Barton</t>
  </si>
  <si>
    <t>Ernie</t>
  </si>
  <si>
    <t>Chandler</t>
  </si>
  <si>
    <t>Month</t>
  </si>
  <si>
    <t>Employees Left</t>
  </si>
  <si>
    <t>Average Total Employees</t>
  </si>
  <si>
    <t>Turnover Rate (%)</t>
  </si>
  <si>
    <t>Top Reasons for Turnover</t>
  </si>
  <si>
    <t>Retention Strategies</t>
  </si>
  <si>
    <t>Jan</t>
  </si>
  <si>
    <t>Retirement, Resignation</t>
  </si>
  <si>
    <t>Mentorship program</t>
  </si>
  <si>
    <t>Feb</t>
  </si>
  <si>
    <t>Career growth, Relocation</t>
  </si>
  <si>
    <t>Flexible work hours</t>
  </si>
  <si>
    <t>Mar</t>
  </si>
  <si>
    <t>Better opportunities</t>
  </si>
  <si>
    <t>Training workshops</t>
  </si>
  <si>
    <t>Apr</t>
  </si>
  <si>
    <t>Personal reasons</t>
  </si>
  <si>
    <t>Employee recognition</t>
  </si>
  <si>
    <t>May</t>
  </si>
  <si>
    <t>New job offers</t>
  </si>
  <si>
    <t>Wellness programs</t>
  </si>
  <si>
    <t>Jun</t>
  </si>
  <si>
    <t>Family relocation</t>
  </si>
  <si>
    <t>Professional growth</t>
  </si>
  <si>
    <t>Jul</t>
  </si>
  <si>
    <t>Career change</t>
  </si>
  <si>
    <t>Work-life balance</t>
  </si>
  <si>
    <t>Aug</t>
  </si>
  <si>
    <t>Skill development</t>
  </si>
  <si>
    <t>Sep</t>
  </si>
  <si>
    <t>Better work-life balance</t>
  </si>
  <si>
    <t>Leadership training</t>
  </si>
  <si>
    <t>Oct</t>
  </si>
  <si>
    <t>Personal growth</t>
  </si>
  <si>
    <t>Employee surveys</t>
  </si>
  <si>
    <t>Nov</t>
  </si>
  <si>
    <t>New opportunities</t>
  </si>
  <si>
    <t>Recognition programs</t>
  </si>
  <si>
    <t>Dec</t>
  </si>
  <si>
    <t>Holiday season</t>
  </si>
  <si>
    <t>Career advancement</t>
  </si>
  <si>
    <t>Employee Turnover Metrics Data Sheet (Monthly)</t>
  </si>
  <si>
    <t>Time Off Balance</t>
  </si>
  <si>
    <t>Length of Service (yrs)</t>
  </si>
  <si>
    <t>List</t>
  </si>
  <si>
    <t>Insert Data From Another Source</t>
  </si>
  <si>
    <t>Grand Total</t>
  </si>
  <si>
    <t>EmployeeID</t>
  </si>
  <si>
    <t>Age</t>
  </si>
  <si>
    <t>Gender</t>
  </si>
  <si>
    <t>Department</t>
  </si>
  <si>
    <t>Position</t>
  </si>
  <si>
    <t>Salary</t>
  </si>
  <si>
    <t>HireDate</t>
  </si>
  <si>
    <t>PerformanceRating</t>
  </si>
  <si>
    <t>Education Level</t>
  </si>
  <si>
    <t>Years of Experience</t>
  </si>
  <si>
    <t>Work Location</t>
  </si>
  <si>
    <t>Performance Score</t>
  </si>
  <si>
    <t>Joseph Martinez</t>
  </si>
  <si>
    <t>Male</t>
  </si>
  <si>
    <t>Marketing</t>
  </si>
  <si>
    <t>Marketing Lead</t>
  </si>
  <si>
    <t>High School</t>
  </si>
  <si>
    <t>Chicago, IL</t>
  </si>
  <si>
    <t>Elizabeth Smith</t>
  </si>
  <si>
    <t>Female</t>
  </si>
  <si>
    <t>Sales</t>
  </si>
  <si>
    <t>Developer</t>
  </si>
  <si>
    <t>Bachelor's</t>
  </si>
  <si>
    <t>Seattle, WA</t>
  </si>
  <si>
    <t>Susan Martinez</t>
  </si>
  <si>
    <t>Finance</t>
  </si>
  <si>
    <t>PhD</t>
  </si>
  <si>
    <t>New York, NY</t>
  </si>
  <si>
    <t>Jennifer Williams</t>
  </si>
  <si>
    <t>IT</t>
  </si>
  <si>
    <t>Accountant</t>
  </si>
  <si>
    <t>Master's</t>
  </si>
  <si>
    <t>San Francisco, CA</t>
  </si>
  <si>
    <t>Mary Martinez</t>
  </si>
  <si>
    <t>HR Manager</t>
  </si>
  <si>
    <t>Associate's</t>
  </si>
  <si>
    <t>Mary Jones</t>
  </si>
  <si>
    <t>Robert Rodriguez</t>
  </si>
  <si>
    <t>Sales Representative</t>
  </si>
  <si>
    <t>Austin, TX</t>
  </si>
  <si>
    <t>Jessica Johnson</t>
  </si>
  <si>
    <t>Christopher Williams</t>
  </si>
  <si>
    <t>Charles Brown</t>
  </si>
  <si>
    <t>HR</t>
  </si>
  <si>
    <t>Thomas Johnson</t>
  </si>
  <si>
    <t>Karen Davis</t>
  </si>
  <si>
    <t>Sarah Brown</t>
  </si>
  <si>
    <t>Linda Miller</t>
  </si>
  <si>
    <t>David Williams</t>
  </si>
  <si>
    <t>Patricia Davis</t>
  </si>
  <si>
    <t>Richard Smith</t>
  </si>
  <si>
    <t>Thomas Miller</t>
  </si>
  <si>
    <t>Charles Martinez</t>
  </si>
  <si>
    <t>William Martinez</t>
  </si>
  <si>
    <t>Joseph Jones</t>
  </si>
  <si>
    <t>Susan Williams</t>
  </si>
  <si>
    <t>Thomas Jones</t>
  </si>
  <si>
    <t>Christopher Miller</t>
  </si>
  <si>
    <t>William Rodriguez</t>
  </si>
  <si>
    <t>Patricia Garcia</t>
  </si>
  <si>
    <t>Jennifer Rodriguez</t>
  </si>
  <si>
    <t>David Miller</t>
  </si>
  <si>
    <t>Elizabeth Johnson</t>
  </si>
  <si>
    <t>John Smith</t>
  </si>
  <si>
    <t>Joseph Brown</t>
  </si>
  <si>
    <t>Karen Smith</t>
  </si>
  <si>
    <t>Elizabeth Brown</t>
  </si>
  <si>
    <t>Jessica Brown</t>
  </si>
  <si>
    <t>Barbara Williams</t>
  </si>
  <si>
    <t>Linda Smith</t>
  </si>
  <si>
    <t>Karen Williams</t>
  </si>
  <si>
    <t>Patricia Johnson</t>
  </si>
  <si>
    <t>Christopher Johnson</t>
  </si>
  <si>
    <t>Karen Rodriguez</t>
  </si>
  <si>
    <t>Christopher Martinez</t>
  </si>
  <si>
    <t>Jennifer Brown</t>
  </si>
  <si>
    <t>Thomas Davis</t>
  </si>
  <si>
    <t>Robert Johnson</t>
  </si>
  <si>
    <t>Linda Johnson</t>
  </si>
  <si>
    <t>Robert Williams</t>
  </si>
  <si>
    <t>Richard Williams</t>
  </si>
  <si>
    <t>Karen Johnson</t>
  </si>
  <si>
    <t>John Davis</t>
  </si>
  <si>
    <t>Linda Martinez</t>
  </si>
  <si>
    <t>Susan Davis</t>
  </si>
  <si>
    <t>Karen Miller</t>
  </si>
  <si>
    <t>Mary Johnson</t>
  </si>
  <si>
    <t>Joseph Davis</t>
  </si>
  <si>
    <t>Jennifer Miller</t>
  </si>
  <si>
    <t>Robert Martinez</t>
  </si>
  <si>
    <t>John Johnson</t>
  </si>
  <si>
    <t>Charles Davis</t>
  </si>
  <si>
    <t>Robert Jones</t>
  </si>
  <si>
    <t>Charles Jones</t>
  </si>
  <si>
    <t>Christopher Jones</t>
  </si>
  <si>
    <t>Christopher Garcia</t>
  </si>
  <si>
    <t>Elizabeth Rodriguez</t>
  </si>
  <si>
    <t>Susan Miller</t>
  </si>
  <si>
    <t>John Rodriguez</t>
  </si>
  <si>
    <t>Michael Rodriguez</t>
  </si>
  <si>
    <t>Patricia Smith</t>
  </si>
  <si>
    <t>Michael Williams</t>
  </si>
  <si>
    <t>William Miller</t>
  </si>
  <si>
    <t>Elizabeth Jones</t>
  </si>
  <si>
    <t>Thomas Smith</t>
  </si>
  <si>
    <t>Susan Smith</t>
  </si>
  <si>
    <t>David Brown</t>
  </si>
  <si>
    <t>Jennifer Smith</t>
  </si>
  <si>
    <t>Mary Davis</t>
  </si>
  <si>
    <t>Sarah Davis</t>
  </si>
  <si>
    <t>Thomas Brown</t>
  </si>
  <si>
    <t>Charles Miller</t>
  </si>
  <si>
    <t>Charles Williams</t>
  </si>
  <si>
    <t>Row Labels</t>
  </si>
  <si>
    <t>Average of Age</t>
  </si>
  <si>
    <t>Sum of Salary</t>
  </si>
  <si>
    <t>Column Labels</t>
  </si>
  <si>
    <t>Average of PerformanceRating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</si>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</sst>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4" formatCode="0.0"/>
    <numFmt numFmtId="166" formatCode="_ [$₹-439]* #,##0.00_ ;_ [$₹-439]* \-#,##0.00_ ;_ [$₹-439]* &quot;-&quot;??_ ;_ @_ "/>
  </numFmts>
  <fonts count="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indexed="64"/>
      </left>
      <right/>
      <top style="thick">
        <color theme="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1" fillId="2" borderId="3" applyNumberFormat="0" applyFont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44" fontId="0" fillId="0" borderId="2" xfId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2" fillId="0" borderId="1" xfId="2" applyAlignment="1">
      <alignment horizontal="center" wrapText="1"/>
    </xf>
    <xf numFmtId="0" fontId="2" fillId="0" borderId="2" xfId="2" applyBorder="1" applyAlignment="1">
      <alignment horizontal="center"/>
    </xf>
    <xf numFmtId="9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2" borderId="3" xfId="3" applyFont="1" applyAlignment="1">
      <alignment horizontal="center"/>
    </xf>
    <xf numFmtId="0" fontId="2" fillId="0" borderId="5" xfId="2" applyFont="1" applyFill="1" applyBorder="1" applyAlignment="1">
      <alignment horizontal="center"/>
    </xf>
    <xf numFmtId="0" fontId="0" fillId="0" borderId="0" xfId="0" applyFill="1"/>
    <xf numFmtId="0" fontId="0" fillId="0" borderId="6" xfId="0" applyFont="1" applyFill="1" applyBorder="1" applyAlignment="1">
      <alignment horizontal="center"/>
    </xf>
    <xf numFmtId="14" fontId="0" fillId="0" borderId="6" xfId="0" applyNumberFormat="1" applyFont="1" applyFill="1" applyBorder="1" applyAlignment="1">
      <alignment horizontal="center"/>
    </xf>
    <xf numFmtId="44" fontId="0" fillId="0" borderId="6" xfId="1" applyNumberFormat="1" applyFont="1" applyFill="1" applyBorder="1" applyAlignment="1">
      <alignment horizontal="center"/>
    </xf>
    <xf numFmtId="1" fontId="0" fillId="0" borderId="6" xfId="0" applyNumberFormat="1" applyFont="1" applyFill="1" applyBorder="1" applyAlignment="1">
      <alignment horizontal="center"/>
    </xf>
    <xf numFmtId="44" fontId="0" fillId="0" borderId="7" xfId="1" applyNumberFormat="1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14" fontId="0" fillId="0" borderId="7" xfId="0" applyNumberFormat="1" applyFont="1" applyFill="1" applyBorder="1" applyAlignment="1">
      <alignment horizontal="center"/>
    </xf>
    <xf numFmtId="1" fontId="0" fillId="0" borderId="7" xfId="0" applyNumberFormat="1" applyFont="1" applyFill="1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14" fontId="0" fillId="0" borderId="8" xfId="0" applyNumberFormat="1" applyFont="1" applyFill="1" applyBorder="1" applyAlignment="1">
      <alignment horizontal="center"/>
    </xf>
    <xf numFmtId="44" fontId="0" fillId="0" borderId="8" xfId="1" applyNumberFormat="1" applyFont="1" applyFill="1" applyBorder="1" applyAlignment="1">
      <alignment horizontal="center"/>
    </xf>
    <xf numFmtId="1" fontId="0" fillId="0" borderId="8" xfId="0" applyNumberFormat="1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2" fillId="0" borderId="1" xfId="2" applyFill="1" applyAlignment="1">
      <alignment horizontal="center"/>
    </xf>
    <xf numFmtId="0" fontId="2" fillId="0" borderId="1" xfId="2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0" fontId="3" fillId="3" borderId="0" xfId="0" applyFont="1" applyFill="1" applyAlignment="1">
      <alignment horizontal="center" vertical="center"/>
    </xf>
    <xf numFmtId="0" fontId="0" fillId="0" borderId="0" xfId="0" pivotButton="1"/>
    <xf numFmtId="164" fontId="0" fillId="0" borderId="0" xfId="0" applyNumberFormat="1"/>
    <xf numFmtId="166" fontId="0" fillId="0" borderId="0" xfId="0" applyNumberFormat="1"/>
    <xf numFmtId="10" fontId="0" fillId="0" borderId="0" xfId="0" applyNumberFormat="1"/>
    <xf numFmtId="9" fontId="0" fillId="0" borderId="0" xfId="0" applyNumberFormat="1" applyAlignment="1">
      <alignment horizontal="center" vertical="center"/>
    </xf>
  </cellXfs>
  <cellStyles count="4">
    <cellStyle name="Currency" xfId="1" builtinId="4"/>
    <cellStyle name="Heading 1" xfId="2" builtinId="16"/>
    <cellStyle name="Normal" xfId="0" builtinId="0"/>
    <cellStyle name="Note" xfId="3" builtinId="10"/>
  </cellStyles>
  <dxfs count="29">
    <dxf>
      <numFmt numFmtId="13" formatCode="0%"/>
    </dxf>
    <dxf>
      <alignment horizontal="center" readingOrder="0"/>
    </dxf>
    <dxf>
      <alignment vertical="center" readingOrder="0"/>
    </dxf>
    <dxf>
      <numFmt numFmtId="13" formatCode="0%"/>
    </dxf>
    <dxf>
      <alignment horizontal="center" readingOrder="0"/>
    </dxf>
    <dxf>
      <alignment vertical="center" readingOrder="0"/>
    </dxf>
    <dxf>
      <numFmt numFmtId="13" formatCode="0%"/>
    </dxf>
    <dxf>
      <alignment horizontal="center" readingOrder="0"/>
    </dxf>
    <dxf>
      <alignment vertical="center" readingOrder="0"/>
    </dxf>
    <dxf>
      <numFmt numFmtId="13" formatCode="0%"/>
    </dxf>
    <dxf>
      <alignment horizontal="center" readingOrder="0"/>
    </dxf>
    <dxf>
      <alignment vertical="center" readingOrder="0"/>
    </dxf>
    <dxf>
      <numFmt numFmtId="13" formatCode="0%"/>
    </dxf>
    <dxf>
      <alignment horizontal="center" readingOrder="0"/>
    </dxf>
    <dxf>
      <alignment vertical="center" readingOrder="0"/>
    </dxf>
    <dxf>
      <numFmt numFmtId="13" formatCode="0%"/>
    </dxf>
    <dxf>
      <alignment horizontal="center" readingOrder="0"/>
    </dxf>
    <dxf>
      <alignment vertical="center" readingOrder="0"/>
    </dxf>
    <dxf>
      <numFmt numFmtId="167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65" formatCode="m/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24764</xdr:colOff>
      <xdr:row>1</xdr:row>
      <xdr:rowOff>228600</xdr:rowOff>
    </xdr:from>
    <xdr:to>
      <xdr:col>12</xdr:col>
      <xdr:colOff>310515</xdr:colOff>
      <xdr:row>5</xdr:row>
      <xdr:rowOff>99060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ACA2D369-95B4-5590-5BB2-E867C9F2C91B}"/>
            </a:ext>
          </a:extLst>
        </xdr:cNvPr>
        <xdr:cNvSpPr txBox="1"/>
      </xdr:nvSpPr>
      <xdr:spPr>
        <a:xfrm>
          <a:off x="9420224" y="426720"/>
          <a:ext cx="1657351" cy="71628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Sort and Filter</a:t>
          </a:r>
        </a:p>
        <a:p>
          <a:r>
            <a:rPr lang="en-US" sz="1200" b="1"/>
            <a:t>Slicers</a:t>
          </a:r>
        </a:p>
        <a:p>
          <a:r>
            <a:rPr lang="en-US" sz="1200" b="1"/>
            <a:t>Total</a:t>
          </a:r>
          <a:r>
            <a:rPr lang="en-US" sz="1200" b="1" baseline="0"/>
            <a:t> Row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24764</xdr:colOff>
      <xdr:row>1</xdr:row>
      <xdr:rowOff>228600</xdr:rowOff>
    </xdr:from>
    <xdr:to>
      <xdr:col>12</xdr:col>
      <xdr:colOff>310515</xdr:colOff>
      <xdr:row>3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F80B1392-79E7-4AF4-8A70-11171E6C76F1}"/>
            </a:ext>
          </a:extLst>
        </xdr:cNvPr>
        <xdr:cNvSpPr txBox="1"/>
      </xdr:nvSpPr>
      <xdr:spPr>
        <a:xfrm>
          <a:off x="9420224" y="426720"/>
          <a:ext cx="1657351" cy="35052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baseline="0"/>
            <a:t>Conditional Formatting</a:t>
          </a:r>
          <a:endParaRPr lang="en-US" sz="12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21906</xdr:colOff>
      <xdr:row>1</xdr:row>
      <xdr:rowOff>17143</xdr:rowOff>
    </xdr:from>
    <xdr:to>
      <xdr:col>13</xdr:col>
      <xdr:colOff>525779</xdr:colOff>
      <xdr:row>3</xdr:row>
      <xdr:rowOff>136207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EBF8FDA7-3A62-4470-65A4-3FFD28279AD4}"/>
            </a:ext>
          </a:extLst>
        </xdr:cNvPr>
        <xdr:cNvSpPr txBox="1"/>
      </xdr:nvSpPr>
      <xdr:spPr>
        <a:xfrm>
          <a:off x="7359966" y="215263"/>
          <a:ext cx="2561273" cy="827724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/>
            <a:t>Generate a report based on: </a:t>
          </a:r>
        </a:p>
        <a:p>
          <a:pPr algn="ctr"/>
          <a:r>
            <a:rPr lang="en-US" sz="1200" b="1">
              <a:solidFill>
                <a:schemeClr val="accent1"/>
              </a:solidFill>
            </a:rPr>
            <a:t>Length of Service </a:t>
          </a:r>
          <a:r>
            <a:rPr lang="en-US" sz="1200" b="1">
              <a:solidFill>
                <a:sysClr val="windowText" lastClr="000000"/>
              </a:solidFill>
            </a:rPr>
            <a:t>and</a:t>
          </a:r>
          <a:r>
            <a:rPr lang="en-US" sz="1200" b="1">
              <a:solidFill>
                <a:schemeClr val="accent1"/>
              </a:solidFill>
            </a:rPr>
            <a:t> </a:t>
          </a:r>
          <a:r>
            <a:rPr lang="en-US" sz="1200" b="1">
              <a:solidFill>
                <a:schemeClr val="accent2"/>
              </a:solidFill>
            </a:rPr>
            <a:t>Hours</a:t>
          </a:r>
          <a:r>
            <a:rPr lang="en-US" sz="1200" b="1">
              <a:solidFill>
                <a:schemeClr val="accent1"/>
              </a:solidFill>
            </a:rPr>
            <a:t> by </a:t>
          </a:r>
          <a:r>
            <a:rPr lang="en-US" sz="1200" b="1">
              <a:solidFill>
                <a:schemeClr val="accent6"/>
              </a:solidFill>
            </a:rPr>
            <a:t>State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959.343788888888" createdVersion="5" refreshedVersion="5" minRefreshableVersion="3" recordCount="100">
  <cacheSource type="worksheet">
    <worksheetSource ref="A1:M101" sheet="hr data"/>
  </cacheSource>
  <cacheFields count="13">
    <cacheField name="EmployeeID" numFmtId="0">
      <sharedItems containsSemiMixedTypes="0" containsString="0" containsNumber="1" containsInteger="1" minValue="1" maxValue="100"/>
    </cacheField>
    <cacheField name="Name" numFmtId="0">
      <sharedItems/>
    </cacheField>
    <cacheField name="Age" numFmtId="0">
      <sharedItems containsSemiMixedTypes="0" containsString="0" containsNumber="1" containsInteger="1" minValue="22" maxValue="60"/>
    </cacheField>
    <cacheField name="Gender" numFmtId="0">
      <sharedItems/>
    </cacheField>
    <cacheField name="Department" numFmtId="0">
      <sharedItems count="5">
        <s v="Marketing"/>
        <s v="Sales"/>
        <s v="Finance"/>
        <s v="IT"/>
        <s v="HR"/>
      </sharedItems>
    </cacheField>
    <cacheField name="Position" numFmtId="0">
      <sharedItems count="5">
        <s v="Marketing Lead"/>
        <s v="Developer"/>
        <s v="Accountant"/>
        <s v="HR Manager"/>
        <s v="Sales Representative"/>
      </sharedItems>
    </cacheField>
    <cacheField name="Salary" numFmtId="0">
      <sharedItems containsSemiMixedTypes="0" containsString="0" containsNumber="1" containsInteger="1" minValue="41200" maxValue="119320"/>
    </cacheField>
    <cacheField name="HireDate" numFmtId="14">
      <sharedItems containsSemiMixedTypes="0" containsNonDate="0" containsDate="1" containsString="0" minDate="2010-05-03T00:00:00" maxDate="2020-12-04T00:00:00"/>
    </cacheField>
    <cacheField name="PerformanceRating" numFmtId="0">
      <sharedItems containsSemiMixedTypes="0" containsString="0" containsNumber="1" containsInteger="1" minValue="1" maxValue="5"/>
    </cacheField>
    <cacheField name="Education Level" numFmtId="0">
      <sharedItems count="5">
        <s v="High School"/>
        <s v="Bachelor's"/>
        <s v="PhD"/>
        <s v="Master's"/>
        <s v="Associate's"/>
      </sharedItems>
    </cacheField>
    <cacheField name="Years of Experience" numFmtId="0">
      <sharedItems containsSemiMixedTypes="0" containsString="0" containsNumber="1" containsInteger="1" minValue="0" maxValue="40"/>
    </cacheField>
    <cacheField name="Work Location" numFmtId="0">
      <sharedItems/>
    </cacheField>
    <cacheField name="Performance Score" numFmtId="0">
      <sharedItems containsSemiMixedTypes="0" containsString="0" containsNumber="1" containsInteger="1" minValue="61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n v="1"/>
    <s v="Joseph Martinez"/>
    <n v="28"/>
    <s v="Male"/>
    <x v="0"/>
    <x v="0"/>
    <n v="94617"/>
    <d v="2018-04-19T00:00:00"/>
    <n v="4"/>
    <x v="0"/>
    <n v="27"/>
    <s v="Chicago, IL"/>
    <n v="99"/>
  </r>
  <r>
    <n v="2"/>
    <s v="Elizabeth Smith"/>
    <n v="59"/>
    <s v="Female"/>
    <x v="1"/>
    <x v="1"/>
    <n v="91086"/>
    <d v="2016-12-06T00:00:00"/>
    <n v="4"/>
    <x v="1"/>
    <n v="11"/>
    <s v="Seattle, WA"/>
    <n v="73"/>
  </r>
  <r>
    <n v="3"/>
    <s v="Susan Martinez"/>
    <n v="38"/>
    <s v="Female"/>
    <x v="2"/>
    <x v="0"/>
    <n v="78843"/>
    <d v="2016-01-27T00:00:00"/>
    <n v="3"/>
    <x v="2"/>
    <n v="13"/>
    <s v="New York, NY"/>
    <n v="84"/>
  </r>
  <r>
    <n v="4"/>
    <s v="Jennifer Williams"/>
    <n v="57"/>
    <s v="Female"/>
    <x v="3"/>
    <x v="2"/>
    <n v="82184"/>
    <d v="2010-10-19T00:00:00"/>
    <n v="4"/>
    <x v="3"/>
    <n v="35"/>
    <s v="San Francisco, CA"/>
    <n v="78"/>
  </r>
  <r>
    <n v="5"/>
    <s v="Mary Martinez"/>
    <n v="45"/>
    <s v="Female"/>
    <x v="3"/>
    <x v="3"/>
    <n v="110386"/>
    <d v="2011-01-06T00:00:00"/>
    <n v="4"/>
    <x v="4"/>
    <n v="37"/>
    <s v="New York, NY"/>
    <n v="66"/>
  </r>
  <r>
    <n v="6"/>
    <s v="Mary Jones"/>
    <n v="41"/>
    <s v="Female"/>
    <x v="3"/>
    <x v="2"/>
    <n v="114670"/>
    <d v="2012-11-22T00:00:00"/>
    <n v="3"/>
    <x v="4"/>
    <n v="8"/>
    <s v="Chicago, IL"/>
    <n v="69"/>
  </r>
  <r>
    <n v="7"/>
    <s v="Robert Rodriguez"/>
    <n v="23"/>
    <s v="Male"/>
    <x v="1"/>
    <x v="4"/>
    <n v="85896"/>
    <d v="2016-11-25T00:00:00"/>
    <n v="3"/>
    <x v="2"/>
    <n v="3"/>
    <s v="Austin, TX"/>
    <n v="65"/>
  </r>
  <r>
    <n v="8"/>
    <s v="Jessica Johnson"/>
    <n v="33"/>
    <s v="Female"/>
    <x v="1"/>
    <x v="1"/>
    <n v="73671"/>
    <d v="2017-09-27T00:00:00"/>
    <n v="1"/>
    <x v="0"/>
    <n v="30"/>
    <s v="San Francisco, CA"/>
    <n v="61"/>
  </r>
  <r>
    <n v="9"/>
    <s v="Christopher Williams"/>
    <n v="33"/>
    <s v="Male"/>
    <x v="3"/>
    <x v="4"/>
    <n v="52300"/>
    <d v="2014-08-26T00:00:00"/>
    <n v="2"/>
    <x v="1"/>
    <n v="28"/>
    <s v="Chicago, IL"/>
    <n v="75"/>
  </r>
  <r>
    <n v="10"/>
    <s v="Charles Brown"/>
    <n v="54"/>
    <s v="Male"/>
    <x v="4"/>
    <x v="0"/>
    <n v="84153"/>
    <d v="2016-01-08T00:00:00"/>
    <n v="2"/>
    <x v="4"/>
    <n v="0"/>
    <s v="Austin, TX"/>
    <n v="76"/>
  </r>
  <r>
    <n v="11"/>
    <s v="Thomas Johnson"/>
    <n v="23"/>
    <s v="Male"/>
    <x v="4"/>
    <x v="3"/>
    <n v="108547"/>
    <d v="2018-05-28T00:00:00"/>
    <n v="2"/>
    <x v="1"/>
    <n v="21"/>
    <s v="Austin, TX"/>
    <n v="75"/>
  </r>
  <r>
    <n v="12"/>
    <s v="Karen Davis"/>
    <n v="53"/>
    <s v="Female"/>
    <x v="3"/>
    <x v="1"/>
    <n v="93702"/>
    <d v="2012-03-12T00:00:00"/>
    <n v="4"/>
    <x v="1"/>
    <n v="10"/>
    <s v="Seattle, WA"/>
    <n v="62"/>
  </r>
  <r>
    <n v="13"/>
    <s v="Sarah Brown"/>
    <n v="48"/>
    <s v="Female"/>
    <x v="2"/>
    <x v="0"/>
    <n v="79937"/>
    <d v="2020-05-31T00:00:00"/>
    <n v="3"/>
    <x v="1"/>
    <n v="13"/>
    <s v="New York, NY"/>
    <n v="100"/>
  </r>
  <r>
    <n v="14"/>
    <s v="Linda Miller"/>
    <n v="23"/>
    <s v="Female"/>
    <x v="4"/>
    <x v="3"/>
    <n v="115597"/>
    <d v="2017-01-06T00:00:00"/>
    <n v="4"/>
    <x v="1"/>
    <n v="40"/>
    <s v="New York, NY"/>
    <n v="81"/>
  </r>
  <r>
    <n v="15"/>
    <s v="David Williams"/>
    <n v="52"/>
    <s v="Male"/>
    <x v="1"/>
    <x v="3"/>
    <n v="64735"/>
    <d v="2018-04-06T00:00:00"/>
    <n v="2"/>
    <x v="3"/>
    <n v="7"/>
    <s v="New York, NY"/>
    <n v="72"/>
  </r>
  <r>
    <n v="16"/>
    <s v="Patricia Davis"/>
    <n v="58"/>
    <s v="Female"/>
    <x v="4"/>
    <x v="1"/>
    <n v="79262"/>
    <d v="2017-12-16T00:00:00"/>
    <n v="4"/>
    <x v="1"/>
    <n v="39"/>
    <s v="San Francisco, CA"/>
    <n v="64"/>
  </r>
  <r>
    <n v="17"/>
    <s v="Richard Smith"/>
    <n v="47"/>
    <s v="Male"/>
    <x v="2"/>
    <x v="1"/>
    <n v="62477"/>
    <d v="2016-02-28T00:00:00"/>
    <n v="2"/>
    <x v="1"/>
    <n v="36"/>
    <s v="San Francisco, CA"/>
    <n v="65"/>
  </r>
  <r>
    <n v="18"/>
    <s v="Thomas Miller"/>
    <n v="37"/>
    <s v="Male"/>
    <x v="3"/>
    <x v="2"/>
    <n v="100543"/>
    <d v="2011-09-13T00:00:00"/>
    <n v="1"/>
    <x v="1"/>
    <n v="30"/>
    <s v="New York, NY"/>
    <n v="69"/>
  </r>
  <r>
    <n v="19"/>
    <s v="Charles Martinez"/>
    <n v="32"/>
    <s v="Male"/>
    <x v="0"/>
    <x v="4"/>
    <n v="42509"/>
    <d v="2012-11-14T00:00:00"/>
    <n v="3"/>
    <x v="1"/>
    <n v="18"/>
    <s v="San Francisco, CA"/>
    <n v="65"/>
  </r>
  <r>
    <n v="20"/>
    <s v="William Martinez"/>
    <n v="44"/>
    <s v="Male"/>
    <x v="3"/>
    <x v="4"/>
    <n v="47619"/>
    <d v="2019-09-05T00:00:00"/>
    <n v="1"/>
    <x v="3"/>
    <n v="18"/>
    <s v="New York, NY"/>
    <n v="76"/>
  </r>
  <r>
    <n v="21"/>
    <s v="Joseph Jones"/>
    <n v="55"/>
    <s v="Male"/>
    <x v="1"/>
    <x v="4"/>
    <n v="47854"/>
    <d v="2018-05-07T00:00:00"/>
    <n v="2"/>
    <x v="3"/>
    <n v="0"/>
    <s v="Seattle, WA"/>
    <n v="71"/>
  </r>
  <r>
    <n v="22"/>
    <s v="Susan Williams"/>
    <n v="40"/>
    <s v="Female"/>
    <x v="0"/>
    <x v="2"/>
    <n v="65546"/>
    <d v="2013-01-02T00:00:00"/>
    <n v="2"/>
    <x v="2"/>
    <n v="26"/>
    <s v="New York, NY"/>
    <n v="69"/>
  </r>
  <r>
    <n v="23"/>
    <s v="Thomas Jones"/>
    <n v="27"/>
    <s v="Male"/>
    <x v="2"/>
    <x v="3"/>
    <n v="95951"/>
    <d v="2020-08-29T00:00:00"/>
    <n v="5"/>
    <x v="2"/>
    <n v="14"/>
    <s v="San Francisco, CA"/>
    <n v="75"/>
  </r>
  <r>
    <n v="24"/>
    <s v="Christopher Miller"/>
    <n v="53"/>
    <s v="Male"/>
    <x v="3"/>
    <x v="2"/>
    <n v="91981"/>
    <d v="2011-05-14T00:00:00"/>
    <n v="5"/>
    <x v="1"/>
    <n v="5"/>
    <s v="Austin, TX"/>
    <n v="86"/>
  </r>
  <r>
    <n v="25"/>
    <s v="William Rodriguez"/>
    <n v="40"/>
    <s v="Male"/>
    <x v="0"/>
    <x v="3"/>
    <n v="104651"/>
    <d v="2018-09-30T00:00:00"/>
    <n v="1"/>
    <x v="1"/>
    <n v="7"/>
    <s v="Seattle, WA"/>
    <n v="74"/>
  </r>
  <r>
    <n v="26"/>
    <s v="Patricia Garcia"/>
    <n v="29"/>
    <s v="Female"/>
    <x v="3"/>
    <x v="0"/>
    <n v="70646"/>
    <d v="2020-10-08T00:00:00"/>
    <n v="3"/>
    <x v="3"/>
    <n v="25"/>
    <s v="New York, NY"/>
    <n v="84"/>
  </r>
  <r>
    <n v="27"/>
    <s v="Jennifer Rodriguez"/>
    <n v="60"/>
    <s v="Female"/>
    <x v="3"/>
    <x v="1"/>
    <n v="89474"/>
    <d v="2015-01-20T00:00:00"/>
    <n v="3"/>
    <x v="3"/>
    <n v="0"/>
    <s v="Seattle, WA"/>
    <n v="74"/>
  </r>
  <r>
    <n v="28"/>
    <s v="David Miller"/>
    <n v="36"/>
    <s v="Male"/>
    <x v="3"/>
    <x v="4"/>
    <n v="91446"/>
    <d v="2013-01-30T00:00:00"/>
    <n v="4"/>
    <x v="3"/>
    <n v="13"/>
    <s v="New York, NY"/>
    <n v="84"/>
  </r>
  <r>
    <n v="29"/>
    <s v="Elizabeth Johnson"/>
    <n v="59"/>
    <s v="Female"/>
    <x v="0"/>
    <x v="2"/>
    <n v="69001"/>
    <d v="2016-09-01T00:00:00"/>
    <n v="1"/>
    <x v="2"/>
    <n v="17"/>
    <s v="San Francisco, CA"/>
    <n v="66"/>
  </r>
  <r>
    <n v="30"/>
    <s v="John Smith"/>
    <n v="58"/>
    <s v="Male"/>
    <x v="1"/>
    <x v="3"/>
    <n v="111981"/>
    <d v="2016-11-19T00:00:00"/>
    <n v="5"/>
    <x v="0"/>
    <n v="21"/>
    <s v="Austin, TX"/>
    <n v="97"/>
  </r>
  <r>
    <n v="31"/>
    <s v="Joseph Brown"/>
    <n v="54"/>
    <s v="Male"/>
    <x v="4"/>
    <x v="4"/>
    <n v="59597"/>
    <d v="2020-03-21T00:00:00"/>
    <n v="2"/>
    <x v="1"/>
    <n v="26"/>
    <s v="Austin, TX"/>
    <n v="97"/>
  </r>
  <r>
    <n v="32"/>
    <s v="Karen Smith"/>
    <n v="32"/>
    <s v="Female"/>
    <x v="2"/>
    <x v="4"/>
    <n v="68871"/>
    <d v="2012-11-23T00:00:00"/>
    <n v="4"/>
    <x v="4"/>
    <n v="9"/>
    <s v="Austin, TX"/>
    <n v="62"/>
  </r>
  <r>
    <n v="33"/>
    <s v="Patricia Garcia"/>
    <n v="33"/>
    <s v="Female"/>
    <x v="0"/>
    <x v="0"/>
    <n v="108753"/>
    <d v="2012-03-28T00:00:00"/>
    <n v="2"/>
    <x v="0"/>
    <n v="9"/>
    <s v="San Francisco, CA"/>
    <n v="78"/>
  </r>
  <r>
    <n v="34"/>
    <s v="Elizabeth Brown"/>
    <n v="54"/>
    <s v="Female"/>
    <x v="4"/>
    <x v="0"/>
    <n v="76009"/>
    <d v="2015-10-22T00:00:00"/>
    <n v="5"/>
    <x v="2"/>
    <n v="37"/>
    <s v="Chicago, IL"/>
    <n v="86"/>
  </r>
  <r>
    <n v="35"/>
    <s v="Thomas Johnson"/>
    <n v="25"/>
    <s v="Male"/>
    <x v="2"/>
    <x v="4"/>
    <n v="100152"/>
    <d v="2015-12-25T00:00:00"/>
    <n v="4"/>
    <x v="0"/>
    <n v="10"/>
    <s v="New York, NY"/>
    <n v="83"/>
  </r>
  <r>
    <n v="36"/>
    <s v="Jessica Brown"/>
    <n v="48"/>
    <s v="Female"/>
    <x v="3"/>
    <x v="1"/>
    <n v="67759"/>
    <d v="2018-06-18T00:00:00"/>
    <n v="3"/>
    <x v="4"/>
    <n v="23"/>
    <s v="Austin, TX"/>
    <n v="67"/>
  </r>
  <r>
    <n v="37"/>
    <s v="Barbara Williams"/>
    <n v="58"/>
    <s v="Female"/>
    <x v="1"/>
    <x v="1"/>
    <n v="56342"/>
    <d v="2012-02-20T00:00:00"/>
    <n v="4"/>
    <x v="3"/>
    <n v="1"/>
    <s v="Seattle, WA"/>
    <n v="88"/>
  </r>
  <r>
    <n v="38"/>
    <s v="Richard Smith"/>
    <n v="47"/>
    <s v="Male"/>
    <x v="2"/>
    <x v="4"/>
    <n v="105248"/>
    <d v="2012-05-01T00:00:00"/>
    <n v="1"/>
    <x v="1"/>
    <n v="19"/>
    <s v="New York, NY"/>
    <n v="84"/>
  </r>
  <r>
    <n v="39"/>
    <s v="Linda Smith"/>
    <n v="37"/>
    <s v="Female"/>
    <x v="2"/>
    <x v="4"/>
    <n v="64814"/>
    <d v="2017-09-26T00:00:00"/>
    <n v="4"/>
    <x v="3"/>
    <n v="1"/>
    <s v="Chicago, IL"/>
    <n v="76"/>
  </r>
  <r>
    <n v="40"/>
    <s v="Karen Williams"/>
    <n v="27"/>
    <s v="Female"/>
    <x v="3"/>
    <x v="1"/>
    <n v="60787"/>
    <d v="2018-09-29T00:00:00"/>
    <n v="3"/>
    <x v="3"/>
    <n v="2"/>
    <s v="San Francisco, CA"/>
    <n v="97"/>
  </r>
  <r>
    <n v="41"/>
    <s v="Patricia Johnson"/>
    <n v="43"/>
    <s v="Female"/>
    <x v="4"/>
    <x v="4"/>
    <n v="60699"/>
    <d v="2014-02-18T00:00:00"/>
    <n v="4"/>
    <x v="1"/>
    <n v="11"/>
    <s v="San Francisco, CA"/>
    <n v="84"/>
  </r>
  <r>
    <n v="42"/>
    <s v="William Martinez"/>
    <n v="60"/>
    <s v="Male"/>
    <x v="1"/>
    <x v="1"/>
    <n v="101605"/>
    <d v="2016-08-21T00:00:00"/>
    <n v="1"/>
    <x v="4"/>
    <n v="37"/>
    <s v="Seattle, WA"/>
    <n v="74"/>
  </r>
  <r>
    <n v="43"/>
    <s v="Christopher Johnson"/>
    <n v="42"/>
    <s v="Male"/>
    <x v="0"/>
    <x v="4"/>
    <n v="41200"/>
    <d v="2015-10-19T00:00:00"/>
    <n v="2"/>
    <x v="1"/>
    <n v="26"/>
    <s v="Chicago, IL"/>
    <n v="65"/>
  </r>
  <r>
    <n v="44"/>
    <s v="Joseph Brown"/>
    <n v="52"/>
    <s v="Male"/>
    <x v="3"/>
    <x v="4"/>
    <n v="51908"/>
    <d v="2015-04-07T00:00:00"/>
    <n v="2"/>
    <x v="4"/>
    <n v="9"/>
    <s v="Seattle, WA"/>
    <n v="81"/>
  </r>
  <r>
    <n v="45"/>
    <s v="Karen Rodriguez"/>
    <n v="56"/>
    <s v="Female"/>
    <x v="2"/>
    <x v="3"/>
    <n v="94976"/>
    <d v="2017-06-25T00:00:00"/>
    <n v="4"/>
    <x v="4"/>
    <n v="20"/>
    <s v="Chicago, IL"/>
    <n v="100"/>
  </r>
  <r>
    <n v="46"/>
    <s v="Christopher Martinez"/>
    <n v="52"/>
    <s v="Male"/>
    <x v="0"/>
    <x v="0"/>
    <n v="92328"/>
    <d v="2018-05-06T00:00:00"/>
    <n v="3"/>
    <x v="2"/>
    <n v="24"/>
    <s v="Austin, TX"/>
    <n v="93"/>
  </r>
  <r>
    <n v="47"/>
    <s v="Jennifer Brown"/>
    <n v="31"/>
    <s v="Female"/>
    <x v="2"/>
    <x v="0"/>
    <n v="114555"/>
    <d v="2012-02-14T00:00:00"/>
    <n v="2"/>
    <x v="2"/>
    <n v="31"/>
    <s v="Seattle, WA"/>
    <n v="89"/>
  </r>
  <r>
    <n v="48"/>
    <s v="William Martinez"/>
    <n v="39"/>
    <s v="Male"/>
    <x v="2"/>
    <x v="1"/>
    <n v="55167"/>
    <d v="2019-11-09T00:00:00"/>
    <n v="4"/>
    <x v="1"/>
    <n v="27"/>
    <s v="Chicago, IL"/>
    <n v="91"/>
  </r>
  <r>
    <n v="49"/>
    <s v="Karen Rodriguez"/>
    <n v="48"/>
    <s v="Female"/>
    <x v="0"/>
    <x v="0"/>
    <n v="108838"/>
    <d v="2011-08-14T00:00:00"/>
    <n v="3"/>
    <x v="3"/>
    <n v="1"/>
    <s v="San Francisco, CA"/>
    <n v="82"/>
  </r>
  <r>
    <n v="50"/>
    <s v="Thomas Davis"/>
    <n v="40"/>
    <s v="Male"/>
    <x v="4"/>
    <x v="0"/>
    <n v="62550"/>
    <d v="2017-06-22T00:00:00"/>
    <n v="3"/>
    <x v="3"/>
    <n v="1"/>
    <s v="San Francisco, CA"/>
    <n v="100"/>
  </r>
  <r>
    <n v="51"/>
    <s v="Karen Smith"/>
    <n v="45"/>
    <s v="Female"/>
    <x v="0"/>
    <x v="4"/>
    <n v="100294"/>
    <d v="2020-03-08T00:00:00"/>
    <n v="5"/>
    <x v="3"/>
    <n v="11"/>
    <s v="Austin, TX"/>
    <n v="94"/>
  </r>
  <r>
    <n v="52"/>
    <s v="Robert Johnson"/>
    <n v="35"/>
    <s v="Male"/>
    <x v="1"/>
    <x v="3"/>
    <n v="69606"/>
    <d v="2019-10-22T00:00:00"/>
    <n v="4"/>
    <x v="0"/>
    <n v="24"/>
    <s v="New York, NY"/>
    <n v="67"/>
  </r>
  <r>
    <n v="53"/>
    <s v="Linda Johnson"/>
    <n v="23"/>
    <s v="Female"/>
    <x v="3"/>
    <x v="0"/>
    <n v="113099"/>
    <d v="2014-05-31T00:00:00"/>
    <n v="3"/>
    <x v="4"/>
    <n v="10"/>
    <s v="Chicago, IL"/>
    <n v="61"/>
  </r>
  <r>
    <n v="54"/>
    <s v="Robert Williams"/>
    <n v="58"/>
    <s v="Male"/>
    <x v="0"/>
    <x v="2"/>
    <n v="106651"/>
    <d v="2017-01-03T00:00:00"/>
    <n v="2"/>
    <x v="1"/>
    <n v="12"/>
    <s v="New York, NY"/>
    <n v="67"/>
  </r>
  <r>
    <n v="55"/>
    <s v="Richard Williams"/>
    <n v="22"/>
    <s v="Male"/>
    <x v="1"/>
    <x v="3"/>
    <n v="107742"/>
    <d v="2010-05-03T00:00:00"/>
    <n v="1"/>
    <x v="3"/>
    <n v="1"/>
    <s v="New York, NY"/>
    <n v="66"/>
  </r>
  <r>
    <n v="56"/>
    <s v="Karen Johnson"/>
    <n v="42"/>
    <s v="Female"/>
    <x v="4"/>
    <x v="2"/>
    <n v="107585"/>
    <d v="2013-05-16T00:00:00"/>
    <n v="2"/>
    <x v="0"/>
    <n v="18"/>
    <s v="New York, NY"/>
    <n v="87"/>
  </r>
  <r>
    <n v="57"/>
    <s v="John Davis"/>
    <n v="26"/>
    <s v="Male"/>
    <x v="4"/>
    <x v="4"/>
    <n v="49190"/>
    <d v="2012-01-27T00:00:00"/>
    <n v="1"/>
    <x v="0"/>
    <n v="20"/>
    <s v="Seattle, WA"/>
    <n v="75"/>
  </r>
  <r>
    <n v="58"/>
    <s v="Elizabeth Smith"/>
    <n v="36"/>
    <s v="Female"/>
    <x v="0"/>
    <x v="0"/>
    <n v="101604"/>
    <d v="2013-05-11T00:00:00"/>
    <n v="4"/>
    <x v="3"/>
    <n v="14"/>
    <s v="New York, NY"/>
    <n v="99"/>
  </r>
  <r>
    <n v="59"/>
    <s v="Linda Martinez"/>
    <n v="22"/>
    <s v="Female"/>
    <x v="0"/>
    <x v="4"/>
    <n v="51094"/>
    <d v="2020-05-25T00:00:00"/>
    <n v="4"/>
    <x v="1"/>
    <n v="0"/>
    <s v="Austin, TX"/>
    <n v="89"/>
  </r>
  <r>
    <n v="60"/>
    <s v="Susan Davis"/>
    <n v="47"/>
    <s v="Female"/>
    <x v="2"/>
    <x v="3"/>
    <n v="91009"/>
    <d v="2016-11-12T00:00:00"/>
    <n v="3"/>
    <x v="2"/>
    <n v="20"/>
    <s v="Seattle, WA"/>
    <n v="92"/>
  </r>
  <r>
    <n v="61"/>
    <s v="Karen Miller"/>
    <n v="41"/>
    <s v="Female"/>
    <x v="1"/>
    <x v="1"/>
    <n v="83091"/>
    <d v="2019-06-15T00:00:00"/>
    <n v="1"/>
    <x v="0"/>
    <n v="22"/>
    <s v="New York, NY"/>
    <n v="70"/>
  </r>
  <r>
    <n v="62"/>
    <s v="Mary Johnson"/>
    <n v="59"/>
    <s v="Female"/>
    <x v="1"/>
    <x v="0"/>
    <n v="114487"/>
    <d v="2015-11-02T00:00:00"/>
    <n v="4"/>
    <x v="1"/>
    <n v="2"/>
    <s v="New York, NY"/>
    <n v="97"/>
  </r>
  <r>
    <n v="63"/>
    <s v="Joseph Davis"/>
    <n v="53"/>
    <s v="Male"/>
    <x v="1"/>
    <x v="3"/>
    <n v="56544"/>
    <d v="2012-12-08T00:00:00"/>
    <n v="2"/>
    <x v="3"/>
    <n v="11"/>
    <s v="Seattle, WA"/>
    <n v="66"/>
  </r>
  <r>
    <n v="64"/>
    <s v="Patricia Johnson"/>
    <n v="50"/>
    <s v="Female"/>
    <x v="1"/>
    <x v="2"/>
    <n v="45513"/>
    <d v="2019-01-08T00:00:00"/>
    <n v="4"/>
    <x v="2"/>
    <n v="38"/>
    <s v="Austin, TX"/>
    <n v="70"/>
  </r>
  <r>
    <n v="65"/>
    <s v="Jennifer Miller"/>
    <n v="23"/>
    <s v="Female"/>
    <x v="3"/>
    <x v="4"/>
    <n v="92859"/>
    <d v="2018-11-16T00:00:00"/>
    <n v="4"/>
    <x v="3"/>
    <n v="14"/>
    <s v="Austin, TX"/>
    <n v="89"/>
  </r>
  <r>
    <n v="66"/>
    <s v="Robert Martinez"/>
    <n v="27"/>
    <s v="Male"/>
    <x v="2"/>
    <x v="2"/>
    <n v="59764"/>
    <d v="2017-08-21T00:00:00"/>
    <n v="2"/>
    <x v="4"/>
    <n v="9"/>
    <s v="Seattle, WA"/>
    <n v="67"/>
  </r>
  <r>
    <n v="67"/>
    <s v="Jennifer Miller"/>
    <n v="22"/>
    <s v="Female"/>
    <x v="4"/>
    <x v="1"/>
    <n v="67662"/>
    <d v="2012-12-06T00:00:00"/>
    <n v="1"/>
    <x v="4"/>
    <n v="4"/>
    <s v="Seattle, WA"/>
    <n v="75"/>
  </r>
  <r>
    <n v="68"/>
    <s v="John Johnson"/>
    <n v="56"/>
    <s v="Male"/>
    <x v="4"/>
    <x v="3"/>
    <n v="42672"/>
    <d v="2017-04-24T00:00:00"/>
    <n v="1"/>
    <x v="3"/>
    <n v="11"/>
    <s v="Seattle, WA"/>
    <n v="84"/>
  </r>
  <r>
    <n v="69"/>
    <s v="Susan Martinez"/>
    <n v="41"/>
    <s v="Female"/>
    <x v="4"/>
    <x v="2"/>
    <n v="43365"/>
    <d v="2020-04-16T00:00:00"/>
    <n v="1"/>
    <x v="2"/>
    <n v="21"/>
    <s v="Austin, TX"/>
    <n v="77"/>
  </r>
  <r>
    <n v="70"/>
    <s v="Charles Davis"/>
    <n v="45"/>
    <s v="Male"/>
    <x v="2"/>
    <x v="4"/>
    <n v="56986"/>
    <d v="2020-07-04T00:00:00"/>
    <n v="5"/>
    <x v="4"/>
    <n v="34"/>
    <s v="Austin, TX"/>
    <n v="66"/>
  </r>
  <r>
    <n v="71"/>
    <s v="Robert Jones"/>
    <n v="29"/>
    <s v="Male"/>
    <x v="3"/>
    <x v="2"/>
    <n v="89187"/>
    <d v="2017-12-25T00:00:00"/>
    <n v="3"/>
    <x v="4"/>
    <n v="19"/>
    <s v="Seattle, WA"/>
    <n v="70"/>
  </r>
  <r>
    <n v="72"/>
    <s v="Mary Johnson"/>
    <n v="56"/>
    <s v="Female"/>
    <x v="4"/>
    <x v="4"/>
    <n v="81066"/>
    <d v="2018-02-19T00:00:00"/>
    <n v="5"/>
    <x v="0"/>
    <n v="39"/>
    <s v="Chicago, IL"/>
    <n v="75"/>
  </r>
  <r>
    <n v="73"/>
    <s v="Sarah Brown"/>
    <n v="49"/>
    <s v="Female"/>
    <x v="1"/>
    <x v="3"/>
    <n v="114049"/>
    <d v="2010-07-31T00:00:00"/>
    <n v="2"/>
    <x v="3"/>
    <n v="4"/>
    <s v="Seattle, WA"/>
    <n v="79"/>
  </r>
  <r>
    <n v="74"/>
    <s v="Charles Jones"/>
    <n v="41"/>
    <s v="Male"/>
    <x v="3"/>
    <x v="2"/>
    <n v="44943"/>
    <d v="2019-09-01T00:00:00"/>
    <n v="3"/>
    <x v="1"/>
    <n v="9"/>
    <s v="New York, NY"/>
    <n v="61"/>
  </r>
  <r>
    <n v="75"/>
    <s v="Christopher Jones"/>
    <n v="51"/>
    <s v="Male"/>
    <x v="2"/>
    <x v="0"/>
    <n v="60225"/>
    <d v="2016-06-08T00:00:00"/>
    <n v="3"/>
    <x v="0"/>
    <n v="14"/>
    <s v="Chicago, IL"/>
    <n v="84"/>
  </r>
  <r>
    <n v="76"/>
    <s v="Christopher Garcia"/>
    <n v="31"/>
    <s v="Male"/>
    <x v="2"/>
    <x v="0"/>
    <n v="110750"/>
    <d v="2013-08-19T00:00:00"/>
    <n v="3"/>
    <x v="2"/>
    <n v="21"/>
    <s v="Chicago, IL"/>
    <n v="73"/>
  </r>
  <r>
    <n v="77"/>
    <s v="Elizabeth Rodriguez"/>
    <n v="36"/>
    <s v="Female"/>
    <x v="0"/>
    <x v="0"/>
    <n v="82396"/>
    <d v="2019-03-19T00:00:00"/>
    <n v="1"/>
    <x v="4"/>
    <n v="4"/>
    <s v="Chicago, IL"/>
    <n v="80"/>
  </r>
  <r>
    <n v="78"/>
    <s v="Susan Davis"/>
    <n v="24"/>
    <s v="Female"/>
    <x v="4"/>
    <x v="0"/>
    <n v="75790"/>
    <d v="2018-09-09T00:00:00"/>
    <n v="3"/>
    <x v="1"/>
    <n v="24"/>
    <s v="Seattle, WA"/>
    <n v="68"/>
  </r>
  <r>
    <n v="79"/>
    <s v="Susan Miller"/>
    <n v="46"/>
    <s v="Female"/>
    <x v="1"/>
    <x v="0"/>
    <n v="71154"/>
    <d v="2017-12-24T00:00:00"/>
    <n v="5"/>
    <x v="4"/>
    <n v="19"/>
    <s v="Austin, TX"/>
    <n v="77"/>
  </r>
  <r>
    <n v="80"/>
    <s v="John Rodriguez"/>
    <n v="34"/>
    <s v="Male"/>
    <x v="3"/>
    <x v="2"/>
    <n v="71164"/>
    <d v="2011-10-13T00:00:00"/>
    <n v="5"/>
    <x v="1"/>
    <n v="30"/>
    <s v="San Francisco, CA"/>
    <n v="67"/>
  </r>
  <r>
    <n v="81"/>
    <s v="Michael Rodriguez"/>
    <n v="50"/>
    <s v="Male"/>
    <x v="1"/>
    <x v="1"/>
    <n v="74142"/>
    <d v="2018-09-10T00:00:00"/>
    <n v="5"/>
    <x v="1"/>
    <n v="33"/>
    <s v="San Francisco, CA"/>
    <n v="98"/>
  </r>
  <r>
    <n v="82"/>
    <s v="Patricia Smith"/>
    <n v="24"/>
    <s v="Female"/>
    <x v="4"/>
    <x v="2"/>
    <n v="53369"/>
    <d v="2012-07-12T00:00:00"/>
    <n v="1"/>
    <x v="0"/>
    <n v="27"/>
    <s v="New York, NY"/>
    <n v="73"/>
  </r>
  <r>
    <n v="83"/>
    <s v="Michael Williams"/>
    <n v="58"/>
    <s v="Male"/>
    <x v="1"/>
    <x v="4"/>
    <n v="42846"/>
    <d v="2016-08-25T00:00:00"/>
    <n v="3"/>
    <x v="4"/>
    <n v="32"/>
    <s v="San Francisco, CA"/>
    <n v="74"/>
  </r>
  <r>
    <n v="84"/>
    <s v="Thomas Johnson"/>
    <n v="34"/>
    <s v="Male"/>
    <x v="2"/>
    <x v="3"/>
    <n v="61698"/>
    <d v="2016-09-30T00:00:00"/>
    <n v="1"/>
    <x v="3"/>
    <n v="0"/>
    <s v="New York, NY"/>
    <n v="86"/>
  </r>
  <r>
    <n v="85"/>
    <s v="William Miller"/>
    <n v="51"/>
    <s v="Male"/>
    <x v="2"/>
    <x v="4"/>
    <n v="67402"/>
    <d v="2020-09-29T00:00:00"/>
    <n v="4"/>
    <x v="4"/>
    <n v="24"/>
    <s v="Seattle, WA"/>
    <n v="67"/>
  </r>
  <r>
    <n v="86"/>
    <s v="Elizabeth Jones"/>
    <n v="26"/>
    <s v="Female"/>
    <x v="3"/>
    <x v="0"/>
    <n v="111033"/>
    <d v="2020-12-03T00:00:00"/>
    <n v="5"/>
    <x v="4"/>
    <n v="33"/>
    <s v="Austin, TX"/>
    <n v="84"/>
  </r>
  <r>
    <n v="87"/>
    <s v="Robert Martinez"/>
    <n v="33"/>
    <s v="Male"/>
    <x v="1"/>
    <x v="4"/>
    <n v="102081"/>
    <d v="2015-05-29T00:00:00"/>
    <n v="4"/>
    <x v="1"/>
    <n v="4"/>
    <s v="Seattle, WA"/>
    <n v="78"/>
  </r>
  <r>
    <n v="88"/>
    <s v="Thomas Smith"/>
    <n v="47"/>
    <s v="Male"/>
    <x v="0"/>
    <x v="1"/>
    <n v="109216"/>
    <d v="2020-07-12T00:00:00"/>
    <n v="5"/>
    <x v="0"/>
    <n v="0"/>
    <s v="Chicago, IL"/>
    <n v="90"/>
  </r>
  <r>
    <n v="89"/>
    <s v="Susan Smith"/>
    <n v="26"/>
    <s v="Female"/>
    <x v="2"/>
    <x v="1"/>
    <n v="57926"/>
    <d v="2019-10-02T00:00:00"/>
    <n v="1"/>
    <x v="4"/>
    <n v="11"/>
    <s v="Austin, TX"/>
    <n v="88"/>
  </r>
  <r>
    <n v="90"/>
    <s v="David Brown"/>
    <n v="60"/>
    <s v="Male"/>
    <x v="3"/>
    <x v="4"/>
    <n v="114675"/>
    <d v="2015-07-20T00:00:00"/>
    <n v="2"/>
    <x v="3"/>
    <n v="40"/>
    <s v="Seattle, WA"/>
    <n v="88"/>
  </r>
  <r>
    <n v="91"/>
    <s v="Jennifer Smith"/>
    <n v="43"/>
    <s v="Female"/>
    <x v="0"/>
    <x v="3"/>
    <n v="80379"/>
    <d v="2020-07-18T00:00:00"/>
    <n v="3"/>
    <x v="4"/>
    <n v="27"/>
    <s v="San Francisco, CA"/>
    <n v="87"/>
  </r>
  <r>
    <n v="92"/>
    <s v="Mary Davis"/>
    <n v="58"/>
    <s v="Female"/>
    <x v="1"/>
    <x v="1"/>
    <n v="47334"/>
    <d v="2016-10-07T00:00:00"/>
    <n v="1"/>
    <x v="2"/>
    <n v="25"/>
    <s v="Chicago, IL"/>
    <n v="94"/>
  </r>
  <r>
    <n v="93"/>
    <s v="Elizabeth Johnson"/>
    <n v="29"/>
    <s v="Female"/>
    <x v="2"/>
    <x v="3"/>
    <n v="119320"/>
    <d v="2015-10-14T00:00:00"/>
    <n v="3"/>
    <x v="4"/>
    <n v="40"/>
    <s v="Seattle, WA"/>
    <n v="72"/>
  </r>
  <r>
    <n v="94"/>
    <s v="Sarah Davis"/>
    <n v="52"/>
    <s v="Female"/>
    <x v="1"/>
    <x v="3"/>
    <n v="100975"/>
    <d v="2016-07-06T00:00:00"/>
    <n v="4"/>
    <x v="3"/>
    <n v="28"/>
    <s v="Austin, TX"/>
    <n v="84"/>
  </r>
  <r>
    <n v="95"/>
    <s v="Christopher Garcia"/>
    <n v="29"/>
    <s v="Male"/>
    <x v="0"/>
    <x v="3"/>
    <n v="95235"/>
    <d v="2018-03-07T00:00:00"/>
    <n v="5"/>
    <x v="1"/>
    <n v="9"/>
    <s v="San Francisco, CA"/>
    <n v="84"/>
  </r>
  <r>
    <n v="96"/>
    <s v="Thomas Brown"/>
    <n v="30"/>
    <s v="Male"/>
    <x v="3"/>
    <x v="1"/>
    <n v="110321"/>
    <d v="2015-01-26T00:00:00"/>
    <n v="5"/>
    <x v="1"/>
    <n v="15"/>
    <s v="Austin, TX"/>
    <n v="75"/>
  </r>
  <r>
    <n v="97"/>
    <s v="Thomas Smith"/>
    <n v="30"/>
    <s v="Male"/>
    <x v="2"/>
    <x v="0"/>
    <n v="45286"/>
    <d v="2013-06-27T00:00:00"/>
    <n v="3"/>
    <x v="2"/>
    <n v="32"/>
    <s v="Austin, TX"/>
    <n v="68"/>
  </r>
  <r>
    <n v="98"/>
    <s v="Sarah Brown"/>
    <n v="30"/>
    <s v="Female"/>
    <x v="1"/>
    <x v="1"/>
    <n v="98186"/>
    <d v="2018-02-14T00:00:00"/>
    <n v="5"/>
    <x v="4"/>
    <n v="15"/>
    <s v="San Francisco, CA"/>
    <n v="76"/>
  </r>
  <r>
    <n v="99"/>
    <s v="Charles Miller"/>
    <n v="35"/>
    <s v="Male"/>
    <x v="0"/>
    <x v="1"/>
    <n v="73960"/>
    <d v="2010-07-16T00:00:00"/>
    <n v="5"/>
    <x v="4"/>
    <n v="2"/>
    <s v="Chicago, IL"/>
    <n v="89"/>
  </r>
  <r>
    <n v="100"/>
    <s v="Charles Williams"/>
    <n v="33"/>
    <s v="Male"/>
    <x v="1"/>
    <x v="1"/>
    <n v="59326"/>
    <d v="2014-12-25T00:00:00"/>
    <n v="3"/>
    <x v="4"/>
    <n v="28"/>
    <s v="Austin, TX"/>
    <n v="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I3:O10" firstHeaderRow="1" firstDataRow="2" firstDataCol="1" rowPageCount="1" colPageCount="1"/>
  <pivotFields count="13">
    <pivotField showAll="0"/>
    <pivotField showAll="0"/>
    <pivotField showAll="0"/>
    <pivotField showAll="0"/>
    <pivotField axis="axisCol" showAll="0">
      <items count="6">
        <item x="2"/>
        <item x="4"/>
        <item x="3"/>
        <item x="0"/>
        <item x="1"/>
        <item t="default"/>
      </items>
    </pivotField>
    <pivotField axis="axisPage" showAll="0">
      <items count="6">
        <item x="2"/>
        <item x="1"/>
        <item x="3"/>
        <item x="0"/>
        <item x="4"/>
        <item t="default"/>
      </items>
    </pivotField>
    <pivotField showAll="0"/>
    <pivotField numFmtId="14" showAll="0"/>
    <pivotField dataField="1" showAll="0"/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5" hier="-1"/>
  </pageFields>
  <dataFields count="1">
    <dataField name="Average of PerformanceRating" fld="8" subtotal="average" showDataAs="percentOfRow" baseField="9" baseItem="0" numFmtId="10"/>
  </dataFields>
  <formats count="3">
    <format dxfId="0">
      <pivotArea collapsedLevelsAreSubtotals="1" fieldPosition="0">
        <references count="1">
          <reference field="9" count="0"/>
        </references>
      </pivotArea>
    </format>
    <format dxfId="1">
      <pivotArea collapsedLevelsAreSubtotals="1" fieldPosition="0">
        <references count="1">
          <reference field="9" count="0"/>
        </references>
      </pivotArea>
    </format>
    <format dxfId="2">
      <pivotArea collapsedLevelsAreSubtotals="1" fieldPosition="0">
        <references count="1">
          <reference field="9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E3:F9" firstHeaderRow="1" firstDataRow="1" firstDataCol="1"/>
  <pivotFields count="13">
    <pivotField showAll="0"/>
    <pivotField showAll="0"/>
    <pivotField showAll="0"/>
    <pivotField showAll="0"/>
    <pivotField axis="axisRow" showAll="0">
      <items count="6">
        <item x="2"/>
        <item x="4"/>
        <item x="3"/>
        <item x="0"/>
        <item x="1"/>
        <item t="default"/>
      </items>
    </pivotField>
    <pivotField showAll="0"/>
    <pivotField dataField="1" showAll="0"/>
    <pivotField numFmtId="14"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6" baseField="4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9" firstHeaderRow="1" firstDataRow="1" firstDataCol="1"/>
  <pivotFields count="13">
    <pivotField showAll="0"/>
    <pivotField showAll="0"/>
    <pivotField dataField="1" showAll="0"/>
    <pivotField showAll="0"/>
    <pivotField axis="axisRow" showAll="0">
      <items count="6">
        <item x="2"/>
        <item x="4"/>
        <item x="3"/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Age" fld="2" subtotal="average" baseField="4" baseItem="2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hr_data" connectionId="1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id="1" name="Table1" displayName="Table1" ref="A2:H53" totalsRowShown="0" headerRowDxfId="28" tableBorderDxfId="27" headerRowCellStyle="Heading 1">
  <autoFilter ref="A2:H53"/>
  <tableColumns count="8">
    <tableColumn id="1" name="Emp#" dataDxfId="26"/>
    <tableColumn id="2" name="Name" dataDxfId="25"/>
    <tableColumn id="3" name="State" dataDxfId="24"/>
    <tableColumn id="4" name="Hire Date" dataDxfId="23"/>
    <tableColumn id="5" name="Pay Rate" dataDxfId="22" dataCellStyle="Currency"/>
    <tableColumn id="6" name="Hours" dataDxfId="21"/>
    <tableColumn id="7" name="Gross Pay" dataDxfId="20" dataCellStyle="Currency">
      <calculatedColumnFormula>E3*F3</calculatedColumnFormula>
    </tableColumn>
    <tableColumn id="8" name="Time Off Balance" dataDxfId="1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2:H53"/>
  <sheetViews>
    <sheetView workbookViewId="0">
      <selection activeCell="D9" sqref="D9"/>
    </sheetView>
  </sheetViews>
  <sheetFormatPr defaultColWidth="9" defaultRowHeight="15"/>
  <cols>
    <col min="1" max="1" width="8.33203125" style="13" customWidth="1"/>
    <col min="2" max="2" width="16.5546875" style="13" bestFit="1" customWidth="1"/>
    <col min="3" max="3" width="15.5546875" style="13" customWidth="1"/>
    <col min="4" max="4" width="12.21875" style="13" customWidth="1"/>
    <col min="5" max="5" width="11.33203125" style="13" customWidth="1"/>
    <col min="6" max="6" width="8.6640625" style="13" customWidth="1"/>
    <col min="7" max="7" width="12.6640625" style="13" customWidth="1"/>
    <col min="8" max="8" width="20" style="13" customWidth="1"/>
    <col min="9" max="16384" width="9" style="13"/>
  </cols>
  <sheetData>
    <row r="2" spans="1:8" ht="19.149999999999999" customHeight="1" thickBot="1">
      <c r="A2" s="12" t="s">
        <v>0</v>
      </c>
      <c r="B2" s="12" t="s">
        <v>1</v>
      </c>
      <c r="C2" s="12" t="s">
        <v>57</v>
      </c>
      <c r="D2" s="12" t="s">
        <v>4</v>
      </c>
      <c r="E2" s="12" t="s">
        <v>5</v>
      </c>
      <c r="F2" s="12" t="s">
        <v>6</v>
      </c>
      <c r="G2" s="28" t="s">
        <v>71</v>
      </c>
      <c r="H2" s="28" t="s">
        <v>214</v>
      </c>
    </row>
    <row r="3" spans="1:8" ht="15.75" thickTop="1">
      <c r="A3" s="14">
        <v>759</v>
      </c>
      <c r="B3" s="14" t="s">
        <v>33</v>
      </c>
      <c r="C3" s="14" t="s">
        <v>60</v>
      </c>
      <c r="D3" s="15">
        <v>44523.818447218218</v>
      </c>
      <c r="E3" s="16">
        <v>38.897068844353498</v>
      </c>
      <c r="F3" s="17">
        <v>33.575234724702689</v>
      </c>
      <c r="G3" s="18">
        <f t="shared" ref="G3:G34" si="0">E3*F3</f>
        <v>1305.9782165520887</v>
      </c>
      <c r="H3" s="19">
        <v>5</v>
      </c>
    </row>
    <row r="4" spans="1:8">
      <c r="A4" s="20">
        <v>735</v>
      </c>
      <c r="B4" s="20" t="s">
        <v>40</v>
      </c>
      <c r="C4" s="20" t="s">
        <v>69</v>
      </c>
      <c r="D4" s="21">
        <v>42226.267940830629</v>
      </c>
      <c r="E4" s="18">
        <v>30.798148022931784</v>
      </c>
      <c r="F4" s="22">
        <v>28.43479819541038</v>
      </c>
      <c r="G4" s="18">
        <f t="shared" si="0"/>
        <v>875.73912382444246</v>
      </c>
      <c r="H4" s="19">
        <v>5</v>
      </c>
    </row>
    <row r="5" spans="1:8">
      <c r="A5" s="20">
        <v>769</v>
      </c>
      <c r="B5" s="20" t="s">
        <v>51</v>
      </c>
      <c r="C5" s="20" t="s">
        <v>62</v>
      </c>
      <c r="D5" s="21">
        <v>44529.988733259481</v>
      </c>
      <c r="E5" s="18">
        <v>38.131159644585523</v>
      </c>
      <c r="F5" s="22">
        <v>27.901873732119675</v>
      </c>
      <c r="G5" s="18">
        <f t="shared" si="0"/>
        <v>1063.9308016625225</v>
      </c>
      <c r="H5" s="19">
        <v>5</v>
      </c>
    </row>
    <row r="6" spans="1:8">
      <c r="A6" s="20">
        <v>741</v>
      </c>
      <c r="B6" s="20" t="s">
        <v>17</v>
      </c>
      <c r="C6" s="20" t="s">
        <v>65</v>
      </c>
      <c r="D6" s="21">
        <v>45091.124344444826</v>
      </c>
      <c r="E6" s="18">
        <v>28.489241245772973</v>
      </c>
      <c r="F6" s="22">
        <v>35.808734831614323</v>
      </c>
      <c r="G6" s="18">
        <f t="shared" si="0"/>
        <v>1020.1636853237741</v>
      </c>
      <c r="H6" s="19">
        <v>13</v>
      </c>
    </row>
    <row r="7" spans="1:8">
      <c r="A7" s="20">
        <v>743</v>
      </c>
      <c r="B7" s="20" t="s">
        <v>25</v>
      </c>
      <c r="C7" s="20" t="s">
        <v>62</v>
      </c>
      <c r="D7" s="21">
        <v>44328.98446837614</v>
      </c>
      <c r="E7" s="18">
        <v>27.861077042566414</v>
      </c>
      <c r="F7" s="22">
        <v>34.027083928833065</v>
      </c>
      <c r="G7" s="18">
        <f t="shared" si="0"/>
        <v>948.03120687509147</v>
      </c>
      <c r="H7" s="19">
        <v>16</v>
      </c>
    </row>
    <row r="8" spans="1:8">
      <c r="A8" s="20">
        <v>723</v>
      </c>
      <c r="B8" s="20" t="s">
        <v>50</v>
      </c>
      <c r="C8" s="20" t="s">
        <v>60</v>
      </c>
      <c r="D8" s="21">
        <v>42566.352320694052</v>
      </c>
      <c r="E8" s="18">
        <v>28.152364184262602</v>
      </c>
      <c r="F8" s="22">
        <v>21.626248187921838</v>
      </c>
      <c r="G8" s="18">
        <f t="shared" si="0"/>
        <v>608.83001492562471</v>
      </c>
      <c r="H8" s="19">
        <v>18</v>
      </c>
    </row>
    <row r="9" spans="1:8">
      <c r="A9" s="20">
        <v>711</v>
      </c>
      <c r="B9" s="20" t="s">
        <v>14</v>
      </c>
      <c r="C9" s="20" t="s">
        <v>61</v>
      </c>
      <c r="D9" s="21">
        <v>43050.698662822397</v>
      </c>
      <c r="E9" s="18">
        <v>26.660820974835211</v>
      </c>
      <c r="F9" s="22">
        <v>23.540537390209309</v>
      </c>
      <c r="G9" s="18">
        <f t="shared" si="0"/>
        <v>627.61005301178488</v>
      </c>
      <c r="H9" s="19">
        <v>12</v>
      </c>
    </row>
    <row r="10" spans="1:8">
      <c r="A10" s="20">
        <v>772</v>
      </c>
      <c r="B10" s="20" t="s">
        <v>27</v>
      </c>
      <c r="C10" s="20" t="s">
        <v>58</v>
      </c>
      <c r="D10" s="21">
        <v>42239.959898583453</v>
      </c>
      <c r="E10" s="18">
        <v>38.619056402535286</v>
      </c>
      <c r="F10" s="22">
        <v>28.732095190962873</v>
      </c>
      <c r="G10" s="18">
        <f t="shared" si="0"/>
        <v>1109.6064047428081</v>
      </c>
      <c r="H10" s="19">
        <v>14</v>
      </c>
    </row>
    <row r="11" spans="1:8">
      <c r="A11" s="20">
        <v>736</v>
      </c>
      <c r="B11" s="20" t="s">
        <v>24</v>
      </c>
      <c r="C11" s="20" t="s">
        <v>60</v>
      </c>
      <c r="D11" s="21">
        <v>42588.529748372224</v>
      </c>
      <c r="E11" s="18">
        <v>26.639908683416962</v>
      </c>
      <c r="F11" s="22">
        <v>39.79958928551406</v>
      </c>
      <c r="G11" s="18">
        <f t="shared" si="0"/>
        <v>1060.2574242035946</v>
      </c>
      <c r="H11" s="19">
        <v>6</v>
      </c>
    </row>
    <row r="12" spans="1:8">
      <c r="A12" s="20">
        <v>706</v>
      </c>
      <c r="B12" s="20" t="s">
        <v>18</v>
      </c>
      <c r="C12" s="20" t="s">
        <v>63</v>
      </c>
      <c r="D12" s="21">
        <v>43096.540722769329</v>
      </c>
      <c r="E12" s="18">
        <v>37.736434997203943</v>
      </c>
      <c r="F12" s="22">
        <v>39.981703302737984</v>
      </c>
      <c r="G12" s="18">
        <f t="shared" si="0"/>
        <v>1508.7669477612662</v>
      </c>
      <c r="H12" s="19">
        <v>13</v>
      </c>
    </row>
    <row r="13" spans="1:8">
      <c r="A13" s="20">
        <v>791</v>
      </c>
      <c r="B13" s="20" t="s">
        <v>22</v>
      </c>
      <c r="C13" s="20" t="s">
        <v>66</v>
      </c>
      <c r="D13" s="21">
        <v>42331.820845291331</v>
      </c>
      <c r="E13" s="18">
        <v>31.265013619538045</v>
      </c>
      <c r="F13" s="22">
        <v>39.517299833019564</v>
      </c>
      <c r="G13" s="18">
        <f t="shared" si="0"/>
        <v>1235.5089174867253</v>
      </c>
      <c r="H13" s="19">
        <v>8</v>
      </c>
    </row>
    <row r="14" spans="1:8">
      <c r="A14" s="20">
        <v>777</v>
      </c>
      <c r="B14" s="20" t="s">
        <v>43</v>
      </c>
      <c r="C14" s="20" t="s">
        <v>61</v>
      </c>
      <c r="D14" s="21">
        <v>43361.494526277937</v>
      </c>
      <c r="E14" s="18">
        <v>35.206954966143577</v>
      </c>
      <c r="F14" s="22">
        <v>29.171149447201202</v>
      </c>
      <c r="G14" s="18">
        <f t="shared" si="0"/>
        <v>1027.0273448982568</v>
      </c>
      <c r="H14" s="19">
        <v>2</v>
      </c>
    </row>
    <row r="15" spans="1:8">
      <c r="A15" s="20">
        <v>785</v>
      </c>
      <c r="B15" s="20" t="s">
        <v>30</v>
      </c>
      <c r="C15" s="20" t="s">
        <v>64</v>
      </c>
      <c r="D15" s="21">
        <v>42798.665655661818</v>
      </c>
      <c r="E15" s="18">
        <v>34.711377833893671</v>
      </c>
      <c r="F15" s="22">
        <v>21.516780736684936</v>
      </c>
      <c r="G15" s="18">
        <f t="shared" si="0"/>
        <v>746.87710592011581</v>
      </c>
      <c r="H15" s="19">
        <v>12</v>
      </c>
    </row>
    <row r="16" spans="1:8">
      <c r="A16" s="20">
        <v>721</v>
      </c>
      <c r="B16" s="20" t="s">
        <v>12</v>
      </c>
      <c r="C16" s="20" t="s">
        <v>58</v>
      </c>
      <c r="D16" s="21">
        <v>41896.702941161122</v>
      </c>
      <c r="E16" s="18">
        <v>26.917505930064422</v>
      </c>
      <c r="F16" s="22">
        <v>36.042559781694685</v>
      </c>
      <c r="G16" s="18">
        <f t="shared" si="0"/>
        <v>970.17581665846808</v>
      </c>
      <c r="H16" s="19">
        <v>9</v>
      </c>
    </row>
    <row r="17" spans="1:8">
      <c r="A17" s="20">
        <v>744</v>
      </c>
      <c r="B17" s="20" t="s">
        <v>23</v>
      </c>
      <c r="C17" s="20" t="s">
        <v>60</v>
      </c>
      <c r="D17" s="21">
        <v>43919.292773794274</v>
      </c>
      <c r="E17" s="18">
        <v>24.631684099159749</v>
      </c>
      <c r="F17" s="22">
        <v>25.059291588256919</v>
      </c>
      <c r="G17" s="18">
        <f t="shared" si="0"/>
        <v>617.25255415067556</v>
      </c>
      <c r="H17" s="19">
        <v>12</v>
      </c>
    </row>
    <row r="18" spans="1:8">
      <c r="A18" s="20">
        <v>731</v>
      </c>
      <c r="B18" s="20" t="s">
        <v>7</v>
      </c>
      <c r="C18" s="20" t="s">
        <v>67</v>
      </c>
      <c r="D18" s="21">
        <v>44167.207205993844</v>
      </c>
      <c r="E18" s="18">
        <v>26.582563460292626</v>
      </c>
      <c r="F18" s="22">
        <v>27</v>
      </c>
      <c r="G18" s="18">
        <f t="shared" si="0"/>
        <v>717.72921342790085</v>
      </c>
      <c r="H18" s="19">
        <v>12</v>
      </c>
    </row>
    <row r="19" spans="1:8">
      <c r="A19" s="20">
        <v>782</v>
      </c>
      <c r="B19" s="20" t="s">
        <v>56</v>
      </c>
      <c r="C19" s="20" t="s">
        <v>61</v>
      </c>
      <c r="D19" s="21">
        <v>42019.386792296107</v>
      </c>
      <c r="E19" s="18">
        <v>25.478327030885474</v>
      </c>
      <c r="F19" s="22">
        <v>38.832449868507879</v>
      </c>
      <c r="G19" s="18">
        <f t="shared" si="0"/>
        <v>989.38585716030934</v>
      </c>
      <c r="H19" s="19">
        <v>6</v>
      </c>
    </row>
    <row r="20" spans="1:8">
      <c r="A20" s="20">
        <v>740</v>
      </c>
      <c r="B20" s="20" t="s">
        <v>47</v>
      </c>
      <c r="C20" s="20" t="s">
        <v>64</v>
      </c>
      <c r="D20" s="21">
        <v>42776.559604468719</v>
      </c>
      <c r="E20" s="18">
        <v>27.775711189378704</v>
      </c>
      <c r="F20" s="22">
        <v>24.761132878810791</v>
      </c>
      <c r="G20" s="18">
        <f t="shared" si="0"/>
        <v>687.75807556367783</v>
      </c>
      <c r="H20" s="19">
        <v>18</v>
      </c>
    </row>
    <row r="21" spans="1:8">
      <c r="A21" s="20">
        <v>795</v>
      </c>
      <c r="B21" s="20" t="s">
        <v>42</v>
      </c>
      <c r="C21" s="20" t="s">
        <v>70</v>
      </c>
      <c r="D21" s="21">
        <v>44416.148553936902</v>
      </c>
      <c r="E21" s="18">
        <v>20.430351599124322</v>
      </c>
      <c r="F21" s="22">
        <v>27.017363211406057</v>
      </c>
      <c r="G21" s="18">
        <f t="shared" si="0"/>
        <v>551.9742296902723</v>
      </c>
      <c r="H21" s="19">
        <v>14</v>
      </c>
    </row>
    <row r="22" spans="1:8">
      <c r="A22" s="20">
        <v>749</v>
      </c>
      <c r="B22" s="20" t="s">
        <v>38</v>
      </c>
      <c r="C22" s="20" t="s">
        <v>68</v>
      </c>
      <c r="D22" s="21">
        <v>43755.465285879822</v>
      </c>
      <c r="E22" s="18">
        <v>30.721256007990682</v>
      </c>
      <c r="F22" s="22">
        <v>25.712852589312803</v>
      </c>
      <c r="G22" s="18">
        <f t="shared" si="0"/>
        <v>789.93112709200466</v>
      </c>
      <c r="H22" s="19">
        <v>16</v>
      </c>
    </row>
    <row r="23" spans="1:8">
      <c r="A23" s="20">
        <v>724</v>
      </c>
      <c r="B23" s="20" t="s">
        <v>31</v>
      </c>
      <c r="C23" s="20" t="s">
        <v>66</v>
      </c>
      <c r="D23" s="21">
        <v>44622.370879935777</v>
      </c>
      <c r="E23" s="18">
        <v>26.130294812962653</v>
      </c>
      <c r="F23" s="22">
        <v>26.553947442073373</v>
      </c>
      <c r="G23" s="18">
        <f t="shared" si="0"/>
        <v>693.86247510929275</v>
      </c>
      <c r="H23" s="19">
        <v>8</v>
      </c>
    </row>
    <row r="24" spans="1:8">
      <c r="A24" s="20">
        <v>721</v>
      </c>
      <c r="B24" s="20" t="s">
        <v>29</v>
      </c>
      <c r="C24" s="20" t="s">
        <v>60</v>
      </c>
      <c r="D24" s="21">
        <v>44426.709149555398</v>
      </c>
      <c r="E24" s="18">
        <v>30.124557747982166</v>
      </c>
      <c r="F24" s="22">
        <v>35.592738672079726</v>
      </c>
      <c r="G24" s="18">
        <f t="shared" si="0"/>
        <v>1072.2155115359037</v>
      </c>
      <c r="H24" s="19">
        <v>9</v>
      </c>
    </row>
    <row r="25" spans="1:8">
      <c r="A25" s="20">
        <v>792</v>
      </c>
      <c r="B25" s="20" t="s">
        <v>32</v>
      </c>
      <c r="C25" s="20" t="s">
        <v>60</v>
      </c>
      <c r="D25" s="21">
        <v>43457.9235212473</v>
      </c>
      <c r="E25" s="18">
        <v>35.782258518364181</v>
      </c>
      <c r="F25" s="22">
        <v>37.153992486013799</v>
      </c>
      <c r="G25" s="18">
        <f t="shared" si="0"/>
        <v>1329.453764123906</v>
      </c>
      <c r="H25" s="19">
        <v>15</v>
      </c>
    </row>
    <row r="26" spans="1:8">
      <c r="A26" s="20">
        <v>716</v>
      </c>
      <c r="B26" s="20" t="s">
        <v>36</v>
      </c>
      <c r="C26" s="20" t="s">
        <v>58</v>
      </c>
      <c r="D26" s="21">
        <v>42701.126930425431</v>
      </c>
      <c r="E26" s="18">
        <v>25.309543015369165</v>
      </c>
      <c r="F26" s="22">
        <v>22.67783157792703</v>
      </c>
      <c r="G26" s="18">
        <f t="shared" si="0"/>
        <v>573.96555381684141</v>
      </c>
      <c r="H26" s="19">
        <v>14</v>
      </c>
    </row>
    <row r="27" spans="1:8">
      <c r="A27" s="20">
        <v>758</v>
      </c>
      <c r="B27" s="20" t="s">
        <v>46</v>
      </c>
      <c r="C27" s="20" t="s">
        <v>65</v>
      </c>
      <c r="D27" s="21">
        <v>45098.763872342628</v>
      </c>
      <c r="E27" s="18">
        <v>36.44303308908011</v>
      </c>
      <c r="F27" s="22">
        <v>26.886464070545003</v>
      </c>
      <c r="G27" s="18">
        <f t="shared" si="0"/>
        <v>979.82429977123502</v>
      </c>
      <c r="H27" s="19">
        <v>6</v>
      </c>
    </row>
    <row r="28" spans="1:8">
      <c r="A28" s="20">
        <v>777</v>
      </c>
      <c r="B28" s="20" t="s">
        <v>11</v>
      </c>
      <c r="C28" s="20" t="s">
        <v>69</v>
      </c>
      <c r="D28" s="21">
        <v>43791.902610858851</v>
      </c>
      <c r="E28" s="18">
        <v>39.806845012796202</v>
      </c>
      <c r="F28" s="22">
        <v>22.842243779196053</v>
      </c>
      <c r="G28" s="18">
        <f t="shared" si="0"/>
        <v>909.2776578629655</v>
      </c>
      <c r="H28" s="19">
        <v>15</v>
      </c>
    </row>
    <row r="29" spans="1:8">
      <c r="A29" s="20">
        <v>729</v>
      </c>
      <c r="B29" s="20" t="s">
        <v>55</v>
      </c>
      <c r="C29" s="20" t="s">
        <v>68</v>
      </c>
      <c r="D29" s="21">
        <v>42976.666322983212</v>
      </c>
      <c r="E29" s="18">
        <v>23.805581736214933</v>
      </c>
      <c r="F29" s="22">
        <v>32.848281103169143</v>
      </c>
      <c r="G29" s="18">
        <f t="shared" si="0"/>
        <v>781.9724406956575</v>
      </c>
      <c r="H29" s="19">
        <v>16</v>
      </c>
    </row>
    <row r="30" spans="1:8">
      <c r="A30" s="20">
        <v>781</v>
      </c>
      <c r="B30" s="20" t="s">
        <v>8</v>
      </c>
      <c r="C30" s="20" t="s">
        <v>61</v>
      </c>
      <c r="D30" s="21">
        <v>44223.014975239028</v>
      </c>
      <c r="E30" s="18">
        <v>31.21293462426479</v>
      </c>
      <c r="F30" s="22">
        <v>35.159650022683792</v>
      </c>
      <c r="G30" s="18">
        <f t="shared" si="0"/>
        <v>1097.4358575700592</v>
      </c>
      <c r="H30" s="19">
        <v>2</v>
      </c>
    </row>
    <row r="31" spans="1:8">
      <c r="A31" s="20">
        <v>735</v>
      </c>
      <c r="B31" s="20" t="s">
        <v>16</v>
      </c>
      <c r="C31" s="20" t="s">
        <v>60</v>
      </c>
      <c r="D31" s="21">
        <v>43973.803999472337</v>
      </c>
      <c r="E31" s="18">
        <v>27.213857121681308</v>
      </c>
      <c r="F31" s="22">
        <v>26.517452207227834</v>
      </c>
      <c r="G31" s="18">
        <f t="shared" si="0"/>
        <v>721.64215559851084</v>
      </c>
      <c r="H31" s="19">
        <v>15</v>
      </c>
    </row>
    <row r="32" spans="1:8">
      <c r="A32" s="20">
        <v>788</v>
      </c>
      <c r="B32" s="20" t="s">
        <v>15</v>
      </c>
      <c r="C32" s="20" t="s">
        <v>59</v>
      </c>
      <c r="D32" s="21">
        <v>42734.622616901208</v>
      </c>
      <c r="E32" s="18">
        <v>31.514482748430645</v>
      </c>
      <c r="F32" s="22">
        <v>30.590717378723738</v>
      </c>
      <c r="G32" s="18">
        <f t="shared" si="0"/>
        <v>964.05063509390675</v>
      </c>
      <c r="H32" s="19">
        <v>4</v>
      </c>
    </row>
    <row r="33" spans="1:8">
      <c r="A33" s="20">
        <v>715</v>
      </c>
      <c r="B33" s="20" t="s">
        <v>41</v>
      </c>
      <c r="C33" s="20" t="s">
        <v>58</v>
      </c>
      <c r="D33" s="21">
        <v>41975.553172036125</v>
      </c>
      <c r="E33" s="18">
        <v>32.753529741025282</v>
      </c>
      <c r="F33" s="22">
        <v>20.056161259455173</v>
      </c>
      <c r="G33" s="18">
        <f t="shared" si="0"/>
        <v>656.91007430236414</v>
      </c>
      <c r="H33" s="19">
        <v>2</v>
      </c>
    </row>
    <row r="34" spans="1:8">
      <c r="A34" s="20">
        <v>704</v>
      </c>
      <c r="B34" s="20" t="s">
        <v>34</v>
      </c>
      <c r="C34" s="20" t="s">
        <v>62</v>
      </c>
      <c r="D34" s="21">
        <v>42085.294022578542</v>
      </c>
      <c r="E34" s="18">
        <v>23.413403242668906</v>
      </c>
      <c r="F34" s="22">
        <v>25.343936875161219</v>
      </c>
      <c r="G34" s="18">
        <f t="shared" si="0"/>
        <v>593.38781381489571</v>
      </c>
      <c r="H34" s="19">
        <v>6</v>
      </c>
    </row>
    <row r="35" spans="1:8">
      <c r="A35" s="20">
        <v>737</v>
      </c>
      <c r="B35" s="20" t="s">
        <v>13</v>
      </c>
      <c r="C35" s="20" t="s">
        <v>70</v>
      </c>
      <c r="D35" s="21">
        <v>42957.250465946068</v>
      </c>
      <c r="E35" s="18">
        <v>25.700826456269397</v>
      </c>
      <c r="F35" s="22">
        <v>36.277769698551708</v>
      </c>
      <c r="G35" s="18">
        <f t="shared" ref="G35:G53" si="1">E35*F35</f>
        <v>932.36866324298603</v>
      </c>
      <c r="H35" s="19">
        <v>3</v>
      </c>
    </row>
    <row r="36" spans="1:8">
      <c r="A36" s="20">
        <v>1001</v>
      </c>
      <c r="B36" s="20" t="s">
        <v>72</v>
      </c>
      <c r="C36" s="20" t="s">
        <v>64</v>
      </c>
      <c r="D36" s="21">
        <v>45416</v>
      </c>
      <c r="E36" s="18">
        <v>30</v>
      </c>
      <c r="F36" s="22">
        <v>25</v>
      </c>
      <c r="G36" s="18">
        <f t="shared" si="1"/>
        <v>750</v>
      </c>
      <c r="H36" s="19">
        <v>18</v>
      </c>
    </row>
    <row r="37" spans="1:8">
      <c r="A37" s="20">
        <v>758</v>
      </c>
      <c r="B37" s="20" t="s">
        <v>39</v>
      </c>
      <c r="C37" s="20" t="s">
        <v>61</v>
      </c>
      <c r="D37" s="21">
        <v>45017.39192292087</v>
      </c>
      <c r="E37" s="18">
        <v>33.035464033388372</v>
      </c>
      <c r="F37" s="22">
        <v>28.431434900827277</v>
      </c>
      <c r="G37" s="18">
        <f t="shared" si="1"/>
        <v>939.24564508390245</v>
      </c>
      <c r="H37" s="19">
        <v>18</v>
      </c>
    </row>
    <row r="38" spans="1:8">
      <c r="A38" s="20">
        <v>756</v>
      </c>
      <c r="B38" s="20" t="s">
        <v>21</v>
      </c>
      <c r="C38" s="20" t="s">
        <v>64</v>
      </c>
      <c r="D38" s="21">
        <v>43174.53206767152</v>
      </c>
      <c r="E38" s="18">
        <v>39.903076288743073</v>
      </c>
      <c r="F38" s="22">
        <v>35.997824788060065</v>
      </c>
      <c r="G38" s="18">
        <f t="shared" si="1"/>
        <v>1436.4239487467671</v>
      </c>
      <c r="H38" s="19">
        <v>16</v>
      </c>
    </row>
    <row r="39" spans="1:8">
      <c r="A39" s="20">
        <v>766</v>
      </c>
      <c r="B39" s="20" t="s">
        <v>53</v>
      </c>
      <c r="C39" s="20" t="s">
        <v>58</v>
      </c>
      <c r="D39" s="21">
        <v>42988.160841048426</v>
      </c>
      <c r="E39" s="18">
        <v>26.055085103731372</v>
      </c>
      <c r="F39" s="22">
        <v>38.006054578626923</v>
      </c>
      <c r="G39" s="18">
        <f t="shared" si="1"/>
        <v>990.25098650318387</v>
      </c>
      <c r="H39" s="19">
        <v>6</v>
      </c>
    </row>
    <row r="40" spans="1:8">
      <c r="A40" s="20">
        <v>751</v>
      </c>
      <c r="B40" s="20" t="s">
        <v>20</v>
      </c>
      <c r="C40" s="20" t="s">
        <v>60</v>
      </c>
      <c r="D40" s="21">
        <v>42551.59846599937</v>
      </c>
      <c r="E40" s="18">
        <v>26.394071582721132</v>
      </c>
      <c r="F40" s="22">
        <v>31.942487063120431</v>
      </c>
      <c r="G40" s="18">
        <f t="shared" si="1"/>
        <v>843.09229007414433</v>
      </c>
      <c r="H40" s="19">
        <v>3</v>
      </c>
    </row>
    <row r="41" spans="1:8">
      <c r="A41" s="20">
        <v>702</v>
      </c>
      <c r="B41" s="20" t="s">
        <v>10</v>
      </c>
      <c r="C41" s="20" t="s">
        <v>61</v>
      </c>
      <c r="D41" s="21">
        <v>42236.614176307186</v>
      </c>
      <c r="E41" s="18">
        <v>34.21501652453059</v>
      </c>
      <c r="F41" s="22">
        <v>26.934531148271134</v>
      </c>
      <c r="G41" s="18">
        <f t="shared" si="1"/>
        <v>921.56542831858076</v>
      </c>
      <c r="H41" s="19">
        <v>10</v>
      </c>
    </row>
    <row r="42" spans="1:8">
      <c r="A42" s="20">
        <v>788</v>
      </c>
      <c r="B42" s="20" t="s">
        <v>37</v>
      </c>
      <c r="C42" s="20" t="s">
        <v>70</v>
      </c>
      <c r="D42" s="21">
        <v>43356.868124677014</v>
      </c>
      <c r="E42" s="18">
        <v>35.752986201235295</v>
      </c>
      <c r="F42" s="22">
        <v>21.177756761511475</v>
      </c>
      <c r="G42" s="18">
        <f t="shared" si="1"/>
        <v>757.16804526743726</v>
      </c>
      <c r="H42" s="19">
        <v>17</v>
      </c>
    </row>
    <row r="43" spans="1:8">
      <c r="A43" s="20">
        <v>758</v>
      </c>
      <c r="B43" s="20" t="s">
        <v>49</v>
      </c>
      <c r="C43" s="20" t="s">
        <v>60</v>
      </c>
      <c r="D43" s="21">
        <v>44447.054903007484</v>
      </c>
      <c r="E43" s="18">
        <v>28.782635958114668</v>
      </c>
      <c r="F43" s="22">
        <v>30.309625529184387</v>
      </c>
      <c r="G43" s="18">
        <f t="shared" si="1"/>
        <v>872.39091763329282</v>
      </c>
      <c r="H43" s="19">
        <v>9</v>
      </c>
    </row>
    <row r="44" spans="1:8">
      <c r="A44" s="20">
        <v>798</v>
      </c>
      <c r="B44" s="20" t="s">
        <v>19</v>
      </c>
      <c r="C44" s="20" t="s">
        <v>64</v>
      </c>
      <c r="D44" s="21">
        <v>44835.32386619586</v>
      </c>
      <c r="E44" s="18">
        <v>35.293069839071713</v>
      </c>
      <c r="F44" s="22">
        <v>24.630726342036226</v>
      </c>
      <c r="G44" s="18">
        <f t="shared" si="1"/>
        <v>869.29394497654789</v>
      </c>
      <c r="H44" s="19">
        <v>18</v>
      </c>
    </row>
    <row r="45" spans="1:8">
      <c r="A45" s="20">
        <v>714</v>
      </c>
      <c r="B45" s="20" t="s">
        <v>44</v>
      </c>
      <c r="C45" s="20" t="s">
        <v>59</v>
      </c>
      <c r="D45" s="21">
        <v>42406.535908922859</v>
      </c>
      <c r="E45" s="18">
        <v>31.783898546839154</v>
      </c>
      <c r="F45" s="22">
        <v>35.756855686847921</v>
      </c>
      <c r="G45" s="18">
        <f t="shared" si="1"/>
        <v>1136.492273504743</v>
      </c>
      <c r="H45" s="19">
        <v>11</v>
      </c>
    </row>
    <row r="46" spans="1:8">
      <c r="A46" s="20">
        <v>701</v>
      </c>
      <c r="B46" s="20" t="s">
        <v>52</v>
      </c>
      <c r="C46" s="20" t="s">
        <v>69</v>
      </c>
      <c r="D46" s="21">
        <v>44696.606884228873</v>
      </c>
      <c r="E46" s="18">
        <v>22.5333498380934</v>
      </c>
      <c r="F46" s="22">
        <v>24.833700707045381</v>
      </c>
      <c r="G46" s="18">
        <f t="shared" si="1"/>
        <v>559.58646580636105</v>
      </c>
      <c r="H46" s="19">
        <v>6</v>
      </c>
    </row>
    <row r="47" spans="1:8">
      <c r="A47" s="20">
        <v>783</v>
      </c>
      <c r="B47" s="20" t="s">
        <v>54</v>
      </c>
      <c r="C47" s="20" t="s">
        <v>70</v>
      </c>
      <c r="D47" s="21">
        <v>44835.437203568203</v>
      </c>
      <c r="E47" s="18">
        <v>33.233488195475573</v>
      </c>
      <c r="F47" s="22">
        <v>37.986821927306927</v>
      </c>
      <c r="G47" s="18">
        <f t="shared" si="1"/>
        <v>1262.4345981047875</v>
      </c>
      <c r="H47" s="19">
        <v>16</v>
      </c>
    </row>
    <row r="48" spans="1:8">
      <c r="A48" s="20">
        <v>776</v>
      </c>
      <c r="B48" s="20" t="s">
        <v>35</v>
      </c>
      <c r="C48" s="20" t="s">
        <v>69</v>
      </c>
      <c r="D48" s="21">
        <v>42368.530478862376</v>
      </c>
      <c r="E48" s="18">
        <v>30.034484061423591</v>
      </c>
      <c r="F48" s="22">
        <v>29.319274473404661</v>
      </c>
      <c r="G48" s="18">
        <f t="shared" si="1"/>
        <v>880.58928186397588</v>
      </c>
      <c r="H48" s="19">
        <v>9</v>
      </c>
    </row>
    <row r="49" spans="1:8">
      <c r="A49" s="20">
        <v>751</v>
      </c>
      <c r="B49" s="20" t="s">
        <v>28</v>
      </c>
      <c r="C49" s="20" t="s">
        <v>70</v>
      </c>
      <c r="D49" s="21">
        <v>45108.571934108644</v>
      </c>
      <c r="E49" s="18">
        <v>34.420448563831357</v>
      </c>
      <c r="F49" s="22">
        <v>30.881529326539145</v>
      </c>
      <c r="G49" s="18">
        <f t="shared" si="1"/>
        <v>1062.9560917565902</v>
      </c>
      <c r="H49" s="19">
        <v>11</v>
      </c>
    </row>
    <row r="50" spans="1:8">
      <c r="A50" s="20">
        <v>710</v>
      </c>
      <c r="B50" s="20" t="s">
        <v>48</v>
      </c>
      <c r="C50" s="20" t="s">
        <v>66</v>
      </c>
      <c r="D50" s="21">
        <v>42928.588193521231</v>
      </c>
      <c r="E50" s="18">
        <v>30.942327317246061</v>
      </c>
      <c r="F50" s="22">
        <v>20.033041187170575</v>
      </c>
      <c r="G50" s="18">
        <f t="shared" si="1"/>
        <v>619.86891757330352</v>
      </c>
      <c r="H50" s="19">
        <v>14</v>
      </c>
    </row>
    <row r="51" spans="1:8">
      <c r="A51" s="20">
        <v>729</v>
      </c>
      <c r="B51" s="20" t="s">
        <v>45</v>
      </c>
      <c r="C51" s="20" t="s">
        <v>60</v>
      </c>
      <c r="D51" s="21">
        <v>43512.894853852915</v>
      </c>
      <c r="E51" s="18">
        <v>25.353789842127156</v>
      </c>
      <c r="F51" s="22">
        <v>27.145119228238222</v>
      </c>
      <c r="G51" s="18">
        <f t="shared" si="1"/>
        <v>688.23164815223674</v>
      </c>
      <c r="H51" s="19">
        <v>2</v>
      </c>
    </row>
    <row r="52" spans="1:8">
      <c r="A52" s="20">
        <v>766</v>
      </c>
      <c r="B52" s="20" t="s">
        <v>26</v>
      </c>
      <c r="C52" s="20" t="s">
        <v>69</v>
      </c>
      <c r="D52" s="21">
        <v>42722.871131833126</v>
      </c>
      <c r="E52" s="18">
        <v>30.099256898627551</v>
      </c>
      <c r="F52" s="22">
        <v>37.606994757270762</v>
      </c>
      <c r="G52" s="18">
        <f t="shared" si="1"/>
        <v>1131.9425963844321</v>
      </c>
      <c r="H52" s="19">
        <v>4</v>
      </c>
    </row>
    <row r="53" spans="1:8">
      <c r="A53" s="23">
        <v>771</v>
      </c>
      <c r="B53" s="23" t="s">
        <v>9</v>
      </c>
      <c r="C53" s="23" t="s">
        <v>68</v>
      </c>
      <c r="D53" s="24">
        <v>43663.066376366958</v>
      </c>
      <c r="E53" s="25">
        <v>33.445802454765435</v>
      </c>
      <c r="F53" s="26">
        <v>37.495359252405187</v>
      </c>
      <c r="G53" s="25">
        <f t="shared" si="1"/>
        <v>1254.0623785264052</v>
      </c>
      <c r="H53" s="27">
        <v>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2:H53"/>
  <sheetViews>
    <sheetView workbookViewId="0">
      <selection activeCell="F8" sqref="F8"/>
    </sheetView>
  </sheetViews>
  <sheetFormatPr defaultColWidth="9" defaultRowHeight="15"/>
  <cols>
    <col min="1" max="1" width="8.33203125" style="13" customWidth="1"/>
    <col min="2" max="2" width="16.5546875" style="13" bestFit="1" customWidth="1"/>
    <col min="3" max="3" width="15.5546875" style="13" customWidth="1"/>
    <col min="4" max="4" width="12.21875" style="13" customWidth="1"/>
    <col min="5" max="5" width="11.33203125" style="13" customWidth="1"/>
    <col min="6" max="6" width="8.6640625" style="13" customWidth="1"/>
    <col min="7" max="7" width="12.6640625" style="13" customWidth="1"/>
    <col min="8" max="8" width="20" style="13" customWidth="1"/>
    <col min="9" max="16384" width="9" style="13"/>
  </cols>
  <sheetData>
    <row r="2" spans="1:8" ht="19.149999999999999" customHeight="1" thickBot="1">
      <c r="A2" s="12" t="s">
        <v>0</v>
      </c>
      <c r="B2" s="12" t="s">
        <v>1</v>
      </c>
      <c r="C2" s="12" t="s">
        <v>57</v>
      </c>
      <c r="D2" s="12" t="s">
        <v>4</v>
      </c>
      <c r="E2" s="12" t="s">
        <v>5</v>
      </c>
      <c r="F2" s="12" t="s">
        <v>6</v>
      </c>
      <c r="G2" s="28" t="s">
        <v>71</v>
      </c>
      <c r="H2" s="28" t="s">
        <v>214</v>
      </c>
    </row>
    <row r="3" spans="1:8" ht="15.75" thickTop="1">
      <c r="A3" s="14">
        <v>759</v>
      </c>
      <c r="B3" s="14" t="s">
        <v>33</v>
      </c>
      <c r="C3" s="14" t="s">
        <v>60</v>
      </c>
      <c r="D3" s="15">
        <v>44523.818447218218</v>
      </c>
      <c r="E3" s="16">
        <v>38.897068844353498</v>
      </c>
      <c r="F3" s="17">
        <v>33.575234724702689</v>
      </c>
      <c r="G3" s="18">
        <f t="shared" ref="G3:G53" si="0">E3*F3</f>
        <v>1305.9782165520887</v>
      </c>
      <c r="H3" s="19">
        <v>5</v>
      </c>
    </row>
    <row r="4" spans="1:8">
      <c r="A4" s="20">
        <v>735</v>
      </c>
      <c r="B4" s="20" t="s">
        <v>40</v>
      </c>
      <c r="C4" s="20" t="s">
        <v>69</v>
      </c>
      <c r="D4" s="21">
        <v>42226.267940830629</v>
      </c>
      <c r="E4" s="18">
        <v>30.798148022931784</v>
      </c>
      <c r="F4" s="22">
        <v>28.43479819541038</v>
      </c>
      <c r="G4" s="18">
        <f t="shared" si="0"/>
        <v>875.73912382444246</v>
      </c>
      <c r="H4" s="19">
        <v>5</v>
      </c>
    </row>
    <row r="5" spans="1:8">
      <c r="A5" s="20">
        <v>769</v>
      </c>
      <c r="B5" s="20" t="s">
        <v>51</v>
      </c>
      <c r="C5" s="20" t="s">
        <v>62</v>
      </c>
      <c r="D5" s="21">
        <v>44529.988733259481</v>
      </c>
      <c r="E5" s="18">
        <v>38.131159644585523</v>
      </c>
      <c r="F5" s="22">
        <v>27.901873732119675</v>
      </c>
      <c r="G5" s="18">
        <f t="shared" si="0"/>
        <v>1063.9308016625225</v>
      </c>
      <c r="H5" s="19">
        <v>5</v>
      </c>
    </row>
    <row r="6" spans="1:8">
      <c r="A6" s="20">
        <v>741</v>
      </c>
      <c r="B6" s="20" t="s">
        <v>17</v>
      </c>
      <c r="C6" s="20" t="s">
        <v>65</v>
      </c>
      <c r="D6" s="21">
        <v>45091.124344444826</v>
      </c>
      <c r="E6" s="18">
        <v>28.489241245772973</v>
      </c>
      <c r="F6" s="22">
        <v>35.808734831614323</v>
      </c>
      <c r="G6" s="18">
        <f t="shared" si="0"/>
        <v>1020.1636853237741</v>
      </c>
      <c r="H6" s="19">
        <v>13</v>
      </c>
    </row>
    <row r="7" spans="1:8">
      <c r="A7" s="20">
        <v>743</v>
      </c>
      <c r="B7" s="20" t="s">
        <v>25</v>
      </c>
      <c r="C7" s="20" t="s">
        <v>62</v>
      </c>
      <c r="D7" s="21">
        <v>44328.98446837614</v>
      </c>
      <c r="E7" s="18">
        <v>27.861077042566414</v>
      </c>
      <c r="F7" s="22">
        <v>34.027083928833065</v>
      </c>
      <c r="G7" s="18">
        <f t="shared" si="0"/>
        <v>948.03120687509147</v>
      </c>
      <c r="H7" s="19">
        <v>16</v>
      </c>
    </row>
    <row r="8" spans="1:8">
      <c r="A8" s="20">
        <v>723</v>
      </c>
      <c r="B8" s="20" t="s">
        <v>50</v>
      </c>
      <c r="C8" s="20" t="s">
        <v>60</v>
      </c>
      <c r="D8" s="21">
        <v>42566.352320694052</v>
      </c>
      <c r="E8" s="18">
        <v>28.152364184262602</v>
      </c>
      <c r="F8" s="22">
        <v>21.626248187921838</v>
      </c>
      <c r="G8" s="18">
        <f t="shared" si="0"/>
        <v>608.83001492562471</v>
      </c>
      <c r="H8" s="19">
        <v>18</v>
      </c>
    </row>
    <row r="9" spans="1:8">
      <c r="A9" s="20">
        <v>711</v>
      </c>
      <c r="B9" s="20" t="s">
        <v>14</v>
      </c>
      <c r="C9" s="20" t="s">
        <v>61</v>
      </c>
      <c r="D9" s="21">
        <v>43050.698662822397</v>
      </c>
      <c r="E9" s="18">
        <v>26.660820974835211</v>
      </c>
      <c r="F9" s="22">
        <v>23.540537390209309</v>
      </c>
      <c r="G9" s="18">
        <f t="shared" si="0"/>
        <v>627.61005301178488</v>
      </c>
      <c r="H9" s="19">
        <v>12</v>
      </c>
    </row>
    <row r="10" spans="1:8">
      <c r="A10" s="20">
        <v>772</v>
      </c>
      <c r="B10" s="20" t="s">
        <v>27</v>
      </c>
      <c r="C10" s="20" t="s">
        <v>58</v>
      </c>
      <c r="D10" s="21">
        <v>42239.959898583453</v>
      </c>
      <c r="E10" s="18">
        <v>38.619056402535286</v>
      </c>
      <c r="F10" s="22">
        <v>28.732095190962873</v>
      </c>
      <c r="G10" s="18">
        <f t="shared" si="0"/>
        <v>1109.6064047428081</v>
      </c>
      <c r="H10" s="19">
        <v>14</v>
      </c>
    </row>
    <row r="11" spans="1:8">
      <c r="A11" s="20">
        <v>736</v>
      </c>
      <c r="B11" s="20" t="s">
        <v>24</v>
      </c>
      <c r="C11" s="20" t="s">
        <v>60</v>
      </c>
      <c r="D11" s="21">
        <v>42588.529748372224</v>
      </c>
      <c r="E11" s="18">
        <v>26.639908683416962</v>
      </c>
      <c r="F11" s="22">
        <v>39.79958928551406</v>
      </c>
      <c r="G11" s="18">
        <f t="shared" si="0"/>
        <v>1060.2574242035946</v>
      </c>
      <c r="H11" s="19">
        <v>6</v>
      </c>
    </row>
    <row r="12" spans="1:8">
      <c r="A12" s="20">
        <v>706</v>
      </c>
      <c r="B12" s="20" t="s">
        <v>18</v>
      </c>
      <c r="C12" s="20" t="s">
        <v>63</v>
      </c>
      <c r="D12" s="21">
        <v>43096.540722769329</v>
      </c>
      <c r="E12" s="18">
        <v>37.736434997203943</v>
      </c>
      <c r="F12" s="22">
        <v>39.981703302737984</v>
      </c>
      <c r="G12" s="18">
        <f t="shared" si="0"/>
        <v>1508.7669477612662</v>
      </c>
      <c r="H12" s="19">
        <v>13</v>
      </c>
    </row>
    <row r="13" spans="1:8">
      <c r="A13" s="20">
        <v>791</v>
      </c>
      <c r="B13" s="20" t="s">
        <v>22</v>
      </c>
      <c r="C13" s="20" t="s">
        <v>66</v>
      </c>
      <c r="D13" s="21">
        <v>42331.820845291331</v>
      </c>
      <c r="E13" s="18">
        <v>31.265013619538045</v>
      </c>
      <c r="F13" s="22">
        <v>39.517299833019564</v>
      </c>
      <c r="G13" s="18">
        <f t="shared" si="0"/>
        <v>1235.5089174867253</v>
      </c>
      <c r="H13" s="19">
        <v>8</v>
      </c>
    </row>
    <row r="14" spans="1:8">
      <c r="A14" s="20">
        <v>777</v>
      </c>
      <c r="B14" s="20" t="s">
        <v>43</v>
      </c>
      <c r="C14" s="20" t="s">
        <v>61</v>
      </c>
      <c r="D14" s="21">
        <v>43361.494526277937</v>
      </c>
      <c r="E14" s="18">
        <v>35.206954966143577</v>
      </c>
      <c r="F14" s="22">
        <v>29.171149447201202</v>
      </c>
      <c r="G14" s="18">
        <f t="shared" si="0"/>
        <v>1027.0273448982568</v>
      </c>
      <c r="H14" s="19">
        <v>2</v>
      </c>
    </row>
    <row r="15" spans="1:8">
      <c r="A15" s="20">
        <v>785</v>
      </c>
      <c r="B15" s="20" t="s">
        <v>30</v>
      </c>
      <c r="C15" s="20" t="s">
        <v>64</v>
      </c>
      <c r="D15" s="21">
        <v>42798.665655661818</v>
      </c>
      <c r="E15" s="18">
        <v>34.711377833893671</v>
      </c>
      <c r="F15" s="22">
        <v>21.516780736684936</v>
      </c>
      <c r="G15" s="18">
        <f t="shared" si="0"/>
        <v>746.87710592011581</v>
      </c>
      <c r="H15" s="19">
        <v>12</v>
      </c>
    </row>
    <row r="16" spans="1:8">
      <c r="A16" s="20">
        <v>721</v>
      </c>
      <c r="B16" s="20" t="s">
        <v>12</v>
      </c>
      <c r="C16" s="20" t="s">
        <v>58</v>
      </c>
      <c r="D16" s="21">
        <v>41896.702941161122</v>
      </c>
      <c r="E16" s="18">
        <v>26.917505930064422</v>
      </c>
      <c r="F16" s="22">
        <v>36.042559781694685</v>
      </c>
      <c r="G16" s="18">
        <f t="shared" si="0"/>
        <v>970.17581665846808</v>
      </c>
      <c r="H16" s="19">
        <v>9</v>
      </c>
    </row>
    <row r="17" spans="1:8">
      <c r="A17" s="20">
        <v>744</v>
      </c>
      <c r="B17" s="20" t="s">
        <v>23</v>
      </c>
      <c r="C17" s="20" t="s">
        <v>60</v>
      </c>
      <c r="D17" s="21">
        <v>43919.292773794274</v>
      </c>
      <c r="E17" s="18">
        <v>24.631684099159749</v>
      </c>
      <c r="F17" s="22">
        <v>25.059291588256919</v>
      </c>
      <c r="G17" s="18">
        <f t="shared" si="0"/>
        <v>617.25255415067556</v>
      </c>
      <c r="H17" s="19">
        <v>12</v>
      </c>
    </row>
    <row r="18" spans="1:8">
      <c r="A18" s="20">
        <v>731</v>
      </c>
      <c r="B18" s="20" t="s">
        <v>7</v>
      </c>
      <c r="C18" s="20" t="s">
        <v>67</v>
      </c>
      <c r="D18" s="21">
        <v>44167.207205993844</v>
      </c>
      <c r="E18" s="18">
        <v>26.582563460292626</v>
      </c>
      <c r="F18" s="22">
        <v>27</v>
      </c>
      <c r="G18" s="18">
        <f t="shared" si="0"/>
        <v>717.72921342790085</v>
      </c>
      <c r="H18" s="19">
        <v>12</v>
      </c>
    </row>
    <row r="19" spans="1:8">
      <c r="A19" s="20">
        <v>782</v>
      </c>
      <c r="B19" s="20" t="s">
        <v>56</v>
      </c>
      <c r="C19" s="20" t="s">
        <v>61</v>
      </c>
      <c r="D19" s="21">
        <v>42019.386792296107</v>
      </c>
      <c r="E19" s="18">
        <v>25.478327030885474</v>
      </c>
      <c r="F19" s="22">
        <v>38.832449868507879</v>
      </c>
      <c r="G19" s="18">
        <f t="shared" si="0"/>
        <v>989.38585716030934</v>
      </c>
      <c r="H19" s="19">
        <v>6</v>
      </c>
    </row>
    <row r="20" spans="1:8">
      <c r="A20" s="20">
        <v>740</v>
      </c>
      <c r="B20" s="20" t="s">
        <v>47</v>
      </c>
      <c r="C20" s="20" t="s">
        <v>64</v>
      </c>
      <c r="D20" s="21">
        <v>42776.559604468719</v>
      </c>
      <c r="E20" s="18">
        <v>27.775711189378704</v>
      </c>
      <c r="F20" s="22">
        <v>24.761132878810791</v>
      </c>
      <c r="G20" s="18">
        <f t="shared" si="0"/>
        <v>687.75807556367783</v>
      </c>
      <c r="H20" s="19">
        <v>18</v>
      </c>
    </row>
    <row r="21" spans="1:8">
      <c r="A21" s="20">
        <v>795</v>
      </c>
      <c r="B21" s="20" t="s">
        <v>42</v>
      </c>
      <c r="C21" s="20" t="s">
        <v>70</v>
      </c>
      <c r="D21" s="21">
        <v>44416.148553936902</v>
      </c>
      <c r="E21" s="18">
        <v>20.430351599124322</v>
      </c>
      <c r="F21" s="22">
        <v>27.017363211406057</v>
      </c>
      <c r="G21" s="18">
        <f t="shared" si="0"/>
        <v>551.9742296902723</v>
      </c>
      <c r="H21" s="19">
        <v>14</v>
      </c>
    </row>
    <row r="22" spans="1:8">
      <c r="A22" s="20">
        <v>749</v>
      </c>
      <c r="B22" s="20" t="s">
        <v>38</v>
      </c>
      <c r="C22" s="20" t="s">
        <v>68</v>
      </c>
      <c r="D22" s="21">
        <v>43755.465285879822</v>
      </c>
      <c r="E22" s="18">
        <v>30.721256007990682</v>
      </c>
      <c r="F22" s="22">
        <v>25.712852589312803</v>
      </c>
      <c r="G22" s="18">
        <f t="shared" si="0"/>
        <v>789.93112709200466</v>
      </c>
      <c r="H22" s="19">
        <v>16</v>
      </c>
    </row>
    <row r="23" spans="1:8">
      <c r="A23" s="20">
        <v>724</v>
      </c>
      <c r="B23" s="20" t="s">
        <v>31</v>
      </c>
      <c r="C23" s="20" t="s">
        <v>66</v>
      </c>
      <c r="D23" s="21">
        <v>44622.370879935777</v>
      </c>
      <c r="E23" s="18">
        <v>26.130294812962653</v>
      </c>
      <c r="F23" s="22">
        <v>26.553947442073373</v>
      </c>
      <c r="G23" s="18">
        <f t="shared" si="0"/>
        <v>693.86247510929275</v>
      </c>
      <c r="H23" s="19">
        <v>8</v>
      </c>
    </row>
    <row r="24" spans="1:8">
      <c r="A24" s="20">
        <v>721</v>
      </c>
      <c r="B24" s="20" t="s">
        <v>29</v>
      </c>
      <c r="C24" s="20" t="s">
        <v>60</v>
      </c>
      <c r="D24" s="21">
        <v>44426.709149555398</v>
      </c>
      <c r="E24" s="18">
        <v>30.124557747982166</v>
      </c>
      <c r="F24" s="22">
        <v>35.592738672079726</v>
      </c>
      <c r="G24" s="18">
        <f t="shared" si="0"/>
        <v>1072.2155115359037</v>
      </c>
      <c r="H24" s="19">
        <v>9</v>
      </c>
    </row>
    <row r="25" spans="1:8">
      <c r="A25" s="20">
        <v>792</v>
      </c>
      <c r="B25" s="20" t="s">
        <v>32</v>
      </c>
      <c r="C25" s="20" t="s">
        <v>60</v>
      </c>
      <c r="D25" s="21">
        <v>43457.9235212473</v>
      </c>
      <c r="E25" s="18">
        <v>35.782258518364181</v>
      </c>
      <c r="F25" s="22">
        <v>37.153992486013799</v>
      </c>
      <c r="G25" s="18">
        <f t="shared" si="0"/>
        <v>1329.453764123906</v>
      </c>
      <c r="H25" s="19">
        <v>15</v>
      </c>
    </row>
    <row r="26" spans="1:8">
      <c r="A26" s="20">
        <v>716</v>
      </c>
      <c r="B26" s="20" t="s">
        <v>36</v>
      </c>
      <c r="C26" s="20" t="s">
        <v>58</v>
      </c>
      <c r="D26" s="21">
        <v>42701.126930425431</v>
      </c>
      <c r="E26" s="18">
        <v>25.309543015369165</v>
      </c>
      <c r="F26" s="22">
        <v>22.67783157792703</v>
      </c>
      <c r="G26" s="18">
        <f t="shared" si="0"/>
        <v>573.96555381684141</v>
      </c>
      <c r="H26" s="19">
        <v>14</v>
      </c>
    </row>
    <row r="27" spans="1:8">
      <c r="A27" s="20">
        <v>758</v>
      </c>
      <c r="B27" s="20" t="s">
        <v>46</v>
      </c>
      <c r="C27" s="20" t="s">
        <v>65</v>
      </c>
      <c r="D27" s="21">
        <v>45098.763872342628</v>
      </c>
      <c r="E27" s="18">
        <v>36.44303308908011</v>
      </c>
      <c r="F27" s="22">
        <v>26.886464070545003</v>
      </c>
      <c r="G27" s="18">
        <f t="shared" si="0"/>
        <v>979.82429977123502</v>
      </c>
      <c r="H27" s="19">
        <v>6</v>
      </c>
    </row>
    <row r="28" spans="1:8">
      <c r="A28" s="20">
        <v>777</v>
      </c>
      <c r="B28" s="20" t="s">
        <v>11</v>
      </c>
      <c r="C28" s="20" t="s">
        <v>69</v>
      </c>
      <c r="D28" s="21">
        <v>43791.902610858851</v>
      </c>
      <c r="E28" s="18">
        <v>39.806845012796202</v>
      </c>
      <c r="F28" s="22">
        <v>22.842243779196053</v>
      </c>
      <c r="G28" s="18">
        <f t="shared" si="0"/>
        <v>909.2776578629655</v>
      </c>
      <c r="H28" s="19">
        <v>15</v>
      </c>
    </row>
    <row r="29" spans="1:8">
      <c r="A29" s="20">
        <v>729</v>
      </c>
      <c r="B29" s="20" t="s">
        <v>55</v>
      </c>
      <c r="C29" s="20" t="s">
        <v>68</v>
      </c>
      <c r="D29" s="21">
        <v>42976.666322983212</v>
      </c>
      <c r="E29" s="18">
        <v>23.805581736214933</v>
      </c>
      <c r="F29" s="22">
        <v>32.848281103169143</v>
      </c>
      <c r="G29" s="18">
        <f t="shared" si="0"/>
        <v>781.9724406956575</v>
      </c>
      <c r="H29" s="19">
        <v>16</v>
      </c>
    </row>
    <row r="30" spans="1:8">
      <c r="A30" s="20">
        <v>781</v>
      </c>
      <c r="B30" s="20" t="s">
        <v>8</v>
      </c>
      <c r="C30" s="20" t="s">
        <v>61</v>
      </c>
      <c r="D30" s="21">
        <v>44223.014975239028</v>
      </c>
      <c r="E30" s="18">
        <v>31.21293462426479</v>
      </c>
      <c r="F30" s="22">
        <v>35.159650022683792</v>
      </c>
      <c r="G30" s="18">
        <f t="shared" si="0"/>
        <v>1097.4358575700592</v>
      </c>
      <c r="H30" s="19">
        <v>2</v>
      </c>
    </row>
    <row r="31" spans="1:8">
      <c r="A31" s="20">
        <v>735</v>
      </c>
      <c r="B31" s="20" t="s">
        <v>16</v>
      </c>
      <c r="C31" s="20" t="s">
        <v>60</v>
      </c>
      <c r="D31" s="21">
        <v>43973.803999472337</v>
      </c>
      <c r="E31" s="18">
        <v>27.213857121681308</v>
      </c>
      <c r="F31" s="22">
        <v>26.517452207227834</v>
      </c>
      <c r="G31" s="18">
        <f t="shared" si="0"/>
        <v>721.64215559851084</v>
      </c>
      <c r="H31" s="19">
        <v>15</v>
      </c>
    </row>
    <row r="32" spans="1:8">
      <c r="A32" s="20">
        <v>788</v>
      </c>
      <c r="B32" s="20" t="s">
        <v>15</v>
      </c>
      <c r="C32" s="20" t="s">
        <v>59</v>
      </c>
      <c r="D32" s="21">
        <v>42734.622616901208</v>
      </c>
      <c r="E32" s="18">
        <v>31.514482748430645</v>
      </c>
      <c r="F32" s="22">
        <v>30.590717378723738</v>
      </c>
      <c r="G32" s="18">
        <f t="shared" si="0"/>
        <v>964.05063509390675</v>
      </c>
      <c r="H32" s="19">
        <v>4</v>
      </c>
    </row>
    <row r="33" spans="1:8">
      <c r="A33" s="20">
        <v>715</v>
      </c>
      <c r="B33" s="20" t="s">
        <v>41</v>
      </c>
      <c r="C33" s="20" t="s">
        <v>58</v>
      </c>
      <c r="D33" s="21">
        <v>41975.553172036125</v>
      </c>
      <c r="E33" s="18">
        <v>32.753529741025282</v>
      </c>
      <c r="F33" s="22">
        <v>20.056161259455173</v>
      </c>
      <c r="G33" s="18">
        <f t="shared" si="0"/>
        <v>656.91007430236414</v>
      </c>
      <c r="H33" s="19">
        <v>2</v>
      </c>
    </row>
    <row r="34" spans="1:8">
      <c r="A34" s="20">
        <v>704</v>
      </c>
      <c r="B34" s="20" t="s">
        <v>34</v>
      </c>
      <c r="C34" s="20" t="s">
        <v>62</v>
      </c>
      <c r="D34" s="21">
        <v>42085.294022578542</v>
      </c>
      <c r="E34" s="18">
        <v>23.413403242668906</v>
      </c>
      <c r="F34" s="22">
        <v>25.343936875161219</v>
      </c>
      <c r="G34" s="18">
        <f t="shared" si="0"/>
        <v>593.38781381489571</v>
      </c>
      <c r="H34" s="19">
        <v>6</v>
      </c>
    </row>
    <row r="35" spans="1:8">
      <c r="A35" s="20">
        <v>737</v>
      </c>
      <c r="B35" s="20" t="s">
        <v>13</v>
      </c>
      <c r="C35" s="20" t="s">
        <v>70</v>
      </c>
      <c r="D35" s="21">
        <v>42957.250465946068</v>
      </c>
      <c r="E35" s="18">
        <v>25.700826456269397</v>
      </c>
      <c r="F35" s="22">
        <v>36.277769698551708</v>
      </c>
      <c r="G35" s="18">
        <f t="shared" si="0"/>
        <v>932.36866324298603</v>
      </c>
      <c r="H35" s="19">
        <v>3</v>
      </c>
    </row>
    <row r="36" spans="1:8">
      <c r="A36" s="20">
        <v>1001</v>
      </c>
      <c r="B36" s="20" t="s">
        <v>72</v>
      </c>
      <c r="C36" s="20" t="s">
        <v>64</v>
      </c>
      <c r="D36" s="21">
        <v>45416</v>
      </c>
      <c r="E36" s="18">
        <v>30</v>
      </c>
      <c r="F36" s="22">
        <v>25</v>
      </c>
      <c r="G36" s="18">
        <f t="shared" si="0"/>
        <v>750</v>
      </c>
      <c r="H36" s="19">
        <v>18</v>
      </c>
    </row>
    <row r="37" spans="1:8">
      <c r="A37" s="20">
        <v>758</v>
      </c>
      <c r="B37" s="20" t="s">
        <v>39</v>
      </c>
      <c r="C37" s="20" t="s">
        <v>61</v>
      </c>
      <c r="D37" s="21">
        <v>45017.39192292087</v>
      </c>
      <c r="E37" s="18">
        <v>33.035464033388372</v>
      </c>
      <c r="F37" s="22">
        <v>28.431434900827277</v>
      </c>
      <c r="G37" s="18">
        <f t="shared" si="0"/>
        <v>939.24564508390245</v>
      </c>
      <c r="H37" s="19">
        <v>18</v>
      </c>
    </row>
    <row r="38" spans="1:8">
      <c r="A38" s="20">
        <v>756</v>
      </c>
      <c r="B38" s="20" t="s">
        <v>21</v>
      </c>
      <c r="C38" s="20" t="s">
        <v>64</v>
      </c>
      <c r="D38" s="21">
        <v>43174.53206767152</v>
      </c>
      <c r="E38" s="18">
        <v>39.903076288743073</v>
      </c>
      <c r="F38" s="22">
        <v>35.997824788060065</v>
      </c>
      <c r="G38" s="18">
        <f t="shared" si="0"/>
        <v>1436.4239487467671</v>
      </c>
      <c r="H38" s="19">
        <v>16</v>
      </c>
    </row>
    <row r="39" spans="1:8">
      <c r="A39" s="20">
        <v>766</v>
      </c>
      <c r="B39" s="20" t="s">
        <v>53</v>
      </c>
      <c r="C39" s="20" t="s">
        <v>58</v>
      </c>
      <c r="D39" s="21">
        <v>42988.160841048426</v>
      </c>
      <c r="E39" s="18">
        <v>26.055085103731372</v>
      </c>
      <c r="F39" s="22">
        <v>38.006054578626923</v>
      </c>
      <c r="G39" s="18">
        <f t="shared" si="0"/>
        <v>990.25098650318387</v>
      </c>
      <c r="H39" s="19">
        <v>6</v>
      </c>
    </row>
    <row r="40" spans="1:8">
      <c r="A40" s="20">
        <v>751</v>
      </c>
      <c r="B40" s="20" t="s">
        <v>20</v>
      </c>
      <c r="C40" s="20" t="s">
        <v>60</v>
      </c>
      <c r="D40" s="21">
        <v>42551.59846599937</v>
      </c>
      <c r="E40" s="18">
        <v>26.394071582721132</v>
      </c>
      <c r="F40" s="22">
        <v>31.942487063120431</v>
      </c>
      <c r="G40" s="18">
        <f t="shared" si="0"/>
        <v>843.09229007414433</v>
      </c>
      <c r="H40" s="19">
        <v>3</v>
      </c>
    </row>
    <row r="41" spans="1:8">
      <c r="A41" s="20">
        <v>702</v>
      </c>
      <c r="B41" s="20" t="s">
        <v>10</v>
      </c>
      <c r="C41" s="20" t="s">
        <v>61</v>
      </c>
      <c r="D41" s="21">
        <v>42236.614176307186</v>
      </c>
      <c r="E41" s="18">
        <v>34.21501652453059</v>
      </c>
      <c r="F41" s="22">
        <v>26.934531148271134</v>
      </c>
      <c r="G41" s="18">
        <f t="shared" si="0"/>
        <v>921.56542831858076</v>
      </c>
      <c r="H41" s="19">
        <v>10</v>
      </c>
    </row>
    <row r="42" spans="1:8">
      <c r="A42" s="20">
        <v>788</v>
      </c>
      <c r="B42" s="20" t="s">
        <v>37</v>
      </c>
      <c r="C42" s="20" t="s">
        <v>70</v>
      </c>
      <c r="D42" s="21">
        <v>43356.868124677014</v>
      </c>
      <c r="E42" s="18">
        <v>35.752986201235295</v>
      </c>
      <c r="F42" s="22">
        <v>21.177756761511475</v>
      </c>
      <c r="G42" s="18">
        <f t="shared" si="0"/>
        <v>757.16804526743726</v>
      </c>
      <c r="H42" s="19">
        <v>17</v>
      </c>
    </row>
    <row r="43" spans="1:8">
      <c r="A43" s="20">
        <v>758</v>
      </c>
      <c r="B43" s="20" t="s">
        <v>49</v>
      </c>
      <c r="C43" s="20" t="s">
        <v>60</v>
      </c>
      <c r="D43" s="21">
        <v>44447.054903007484</v>
      </c>
      <c r="E43" s="18">
        <v>28.782635958114668</v>
      </c>
      <c r="F43" s="22">
        <v>30.309625529184387</v>
      </c>
      <c r="G43" s="18">
        <f t="shared" si="0"/>
        <v>872.39091763329282</v>
      </c>
      <c r="H43" s="19">
        <v>9</v>
      </c>
    </row>
    <row r="44" spans="1:8">
      <c r="A44" s="20">
        <v>798</v>
      </c>
      <c r="B44" s="20" t="s">
        <v>19</v>
      </c>
      <c r="C44" s="20" t="s">
        <v>64</v>
      </c>
      <c r="D44" s="21">
        <v>44835.32386619586</v>
      </c>
      <c r="E44" s="18">
        <v>35.293069839071713</v>
      </c>
      <c r="F44" s="22">
        <v>24.630726342036226</v>
      </c>
      <c r="G44" s="18">
        <f t="shared" si="0"/>
        <v>869.29394497654789</v>
      </c>
      <c r="H44" s="19">
        <v>18</v>
      </c>
    </row>
    <row r="45" spans="1:8">
      <c r="A45" s="20">
        <v>714</v>
      </c>
      <c r="B45" s="20" t="s">
        <v>44</v>
      </c>
      <c r="C45" s="20" t="s">
        <v>59</v>
      </c>
      <c r="D45" s="21">
        <v>42406.535908922859</v>
      </c>
      <c r="E45" s="18">
        <v>31.783898546839154</v>
      </c>
      <c r="F45" s="22">
        <v>35.756855686847921</v>
      </c>
      <c r="G45" s="18">
        <f t="shared" si="0"/>
        <v>1136.492273504743</v>
      </c>
      <c r="H45" s="19">
        <v>11</v>
      </c>
    </row>
    <row r="46" spans="1:8">
      <c r="A46" s="20">
        <v>701</v>
      </c>
      <c r="B46" s="20" t="s">
        <v>52</v>
      </c>
      <c r="C46" s="20" t="s">
        <v>69</v>
      </c>
      <c r="D46" s="21">
        <v>44696.606884228873</v>
      </c>
      <c r="E46" s="18">
        <v>22.5333498380934</v>
      </c>
      <c r="F46" s="22">
        <v>24.833700707045381</v>
      </c>
      <c r="G46" s="18">
        <f t="shared" si="0"/>
        <v>559.58646580636105</v>
      </c>
      <c r="H46" s="19">
        <v>6</v>
      </c>
    </row>
    <row r="47" spans="1:8">
      <c r="A47" s="20">
        <v>783</v>
      </c>
      <c r="B47" s="20" t="s">
        <v>54</v>
      </c>
      <c r="C47" s="20" t="s">
        <v>70</v>
      </c>
      <c r="D47" s="21">
        <v>44835.437203568203</v>
      </c>
      <c r="E47" s="18">
        <v>33.233488195475573</v>
      </c>
      <c r="F47" s="22">
        <v>37.986821927306927</v>
      </c>
      <c r="G47" s="18">
        <f t="shared" si="0"/>
        <v>1262.4345981047875</v>
      </c>
      <c r="H47" s="19">
        <v>16</v>
      </c>
    </row>
    <row r="48" spans="1:8">
      <c r="A48" s="20">
        <v>776</v>
      </c>
      <c r="B48" s="20" t="s">
        <v>35</v>
      </c>
      <c r="C48" s="20" t="s">
        <v>69</v>
      </c>
      <c r="D48" s="21">
        <v>42368.530478862376</v>
      </c>
      <c r="E48" s="18">
        <v>30.034484061423591</v>
      </c>
      <c r="F48" s="22">
        <v>29.319274473404661</v>
      </c>
      <c r="G48" s="18">
        <f t="shared" si="0"/>
        <v>880.58928186397588</v>
      </c>
      <c r="H48" s="19">
        <v>9</v>
      </c>
    </row>
    <row r="49" spans="1:8">
      <c r="A49" s="20">
        <v>751</v>
      </c>
      <c r="B49" s="20" t="s">
        <v>28</v>
      </c>
      <c r="C49" s="20" t="s">
        <v>70</v>
      </c>
      <c r="D49" s="21">
        <v>45108.571934108644</v>
      </c>
      <c r="E49" s="18">
        <v>34.420448563831357</v>
      </c>
      <c r="F49" s="22">
        <v>30.881529326539145</v>
      </c>
      <c r="G49" s="18">
        <f t="shared" si="0"/>
        <v>1062.9560917565902</v>
      </c>
      <c r="H49" s="19">
        <v>11</v>
      </c>
    </row>
    <row r="50" spans="1:8">
      <c r="A50" s="20">
        <v>710</v>
      </c>
      <c r="B50" s="20" t="s">
        <v>48</v>
      </c>
      <c r="C50" s="20" t="s">
        <v>66</v>
      </c>
      <c r="D50" s="21">
        <v>42928.588193521231</v>
      </c>
      <c r="E50" s="18">
        <v>30.942327317246061</v>
      </c>
      <c r="F50" s="22">
        <v>20.033041187170575</v>
      </c>
      <c r="G50" s="18">
        <f t="shared" si="0"/>
        <v>619.86891757330352</v>
      </c>
      <c r="H50" s="19">
        <v>14</v>
      </c>
    </row>
    <row r="51" spans="1:8">
      <c r="A51" s="20">
        <v>729</v>
      </c>
      <c r="B51" s="20" t="s">
        <v>45</v>
      </c>
      <c r="C51" s="20" t="s">
        <v>60</v>
      </c>
      <c r="D51" s="21">
        <v>43512.894853852915</v>
      </c>
      <c r="E51" s="18">
        <v>25.353789842127156</v>
      </c>
      <c r="F51" s="22">
        <v>27.145119228238222</v>
      </c>
      <c r="G51" s="18">
        <f t="shared" si="0"/>
        <v>688.23164815223674</v>
      </c>
      <c r="H51" s="19">
        <v>2</v>
      </c>
    </row>
    <row r="52" spans="1:8">
      <c r="A52" s="20">
        <v>766</v>
      </c>
      <c r="B52" s="20" t="s">
        <v>26</v>
      </c>
      <c r="C52" s="20" t="s">
        <v>69</v>
      </c>
      <c r="D52" s="21">
        <v>42722.871131833126</v>
      </c>
      <c r="E52" s="18">
        <v>30.099256898627551</v>
      </c>
      <c r="F52" s="22">
        <v>37.606994757270762</v>
      </c>
      <c r="G52" s="18">
        <f t="shared" si="0"/>
        <v>1131.9425963844321</v>
      </c>
      <c r="H52" s="19">
        <v>4</v>
      </c>
    </row>
    <row r="53" spans="1:8">
      <c r="A53" s="20">
        <v>771</v>
      </c>
      <c r="B53" s="20" t="s">
        <v>9</v>
      </c>
      <c r="C53" s="20" t="s">
        <v>68</v>
      </c>
      <c r="D53" s="21">
        <v>43663.066376366958</v>
      </c>
      <c r="E53" s="18">
        <v>33.445802454765435</v>
      </c>
      <c r="F53" s="22">
        <v>37.495359252405187</v>
      </c>
      <c r="G53" s="18">
        <f t="shared" si="0"/>
        <v>1254.0623785264052</v>
      </c>
      <c r="H53" s="19">
        <v>16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2:H52"/>
  <sheetViews>
    <sheetView workbookViewId="0">
      <selection activeCell="E11" sqref="E11"/>
    </sheetView>
  </sheetViews>
  <sheetFormatPr defaultRowHeight="15"/>
  <cols>
    <col min="1" max="1" width="6.88671875" bestFit="1" customWidth="1"/>
    <col min="2" max="2" width="9.33203125" bestFit="1" customWidth="1"/>
    <col min="3" max="3" width="9.21875" bestFit="1" customWidth="1"/>
    <col min="4" max="4" width="6.44140625" bestFit="1" customWidth="1"/>
    <col min="5" max="5" width="10.77734375" bestFit="1" customWidth="1"/>
    <col min="6" max="6" width="18.44140625" bestFit="1" customWidth="1"/>
    <col min="7" max="7" width="9.88671875" bestFit="1" customWidth="1"/>
    <col min="8" max="8" width="7.21875" bestFit="1" customWidth="1"/>
  </cols>
  <sheetData>
    <row r="2" spans="1:8" ht="39.75" thickBot="1">
      <c r="A2" s="7" t="s">
        <v>0</v>
      </c>
      <c r="B2" s="7" t="s">
        <v>2</v>
      </c>
      <c r="C2" s="7" t="s">
        <v>3</v>
      </c>
      <c r="D2" s="7" t="s">
        <v>57</v>
      </c>
      <c r="E2" s="7" t="s">
        <v>4</v>
      </c>
      <c r="F2" s="7" t="s">
        <v>215</v>
      </c>
      <c r="G2" s="7" t="s">
        <v>5</v>
      </c>
      <c r="H2" s="7" t="s">
        <v>6</v>
      </c>
    </row>
    <row r="3" spans="1:8" ht="15.75" thickTop="1">
      <c r="A3" s="2">
        <v>788</v>
      </c>
      <c r="B3" s="2" t="s">
        <v>89</v>
      </c>
      <c r="C3" s="2" t="s">
        <v>90</v>
      </c>
      <c r="D3" s="2" t="s">
        <v>59</v>
      </c>
      <c r="E3" s="3">
        <v>42734.622616901208</v>
      </c>
      <c r="F3" s="6">
        <f ca="1">(TODAY()-$K$2-E3)/365</f>
        <v>8.8339106386268273</v>
      </c>
      <c r="G3" s="4">
        <v>31.514482748430645</v>
      </c>
      <c r="H3" s="5">
        <v>30.590717378723738</v>
      </c>
    </row>
    <row r="4" spans="1:8">
      <c r="A4" s="2">
        <v>704</v>
      </c>
      <c r="B4" s="2" t="s">
        <v>126</v>
      </c>
      <c r="C4" s="2" t="s">
        <v>127</v>
      </c>
      <c r="D4" s="2" t="s">
        <v>62</v>
      </c>
      <c r="E4" s="3">
        <v>42085.294022578542</v>
      </c>
      <c r="F4" s="6">
        <f t="shared" ref="F4:F52" ca="1" si="0">(TODAY()-$K$2-E4)/365</f>
        <v>10.612893088825912</v>
      </c>
      <c r="G4" s="4">
        <v>23.413403242668906</v>
      </c>
      <c r="H4" s="5">
        <v>25.343936875161219</v>
      </c>
    </row>
    <row r="5" spans="1:8">
      <c r="A5" s="2">
        <v>729</v>
      </c>
      <c r="B5" s="2" t="s">
        <v>168</v>
      </c>
      <c r="C5" s="2" t="s">
        <v>169</v>
      </c>
      <c r="D5" s="2" t="s">
        <v>68</v>
      </c>
      <c r="E5" s="3">
        <v>42976.666322983212</v>
      </c>
      <c r="F5" s="6">
        <f t="shared" ca="1" si="0"/>
        <v>8.1707771973062684</v>
      </c>
      <c r="G5" s="4">
        <v>23.805581736214933</v>
      </c>
      <c r="H5" s="5">
        <v>32.848281103169143</v>
      </c>
    </row>
    <row r="6" spans="1:8">
      <c r="A6" s="2">
        <v>735</v>
      </c>
      <c r="B6" s="2" t="s">
        <v>138</v>
      </c>
      <c r="C6" s="2" t="s">
        <v>139</v>
      </c>
      <c r="D6" s="2" t="s">
        <v>69</v>
      </c>
      <c r="E6" s="3">
        <v>42226.267940830629</v>
      </c>
      <c r="F6" s="6">
        <f t="shared" ca="1" si="0"/>
        <v>10.226663175806497</v>
      </c>
      <c r="G6" s="4">
        <v>30.798148022931784</v>
      </c>
      <c r="H6" s="5">
        <v>28.43479819541038</v>
      </c>
    </row>
    <row r="7" spans="1:8">
      <c r="A7" s="2">
        <v>706</v>
      </c>
      <c r="B7" s="2" t="s">
        <v>95</v>
      </c>
      <c r="C7" s="2" t="s">
        <v>96</v>
      </c>
      <c r="D7" s="2" t="s">
        <v>63</v>
      </c>
      <c r="E7" s="3">
        <v>43096.540722769329</v>
      </c>
      <c r="F7" s="6">
        <f t="shared" ca="1" si="0"/>
        <v>7.8423541841936206</v>
      </c>
      <c r="G7" s="4">
        <v>37.736434997203943</v>
      </c>
      <c r="H7" s="5">
        <v>39.981703302737984</v>
      </c>
    </row>
    <row r="8" spans="1:8">
      <c r="A8" s="2">
        <v>769</v>
      </c>
      <c r="B8" s="2" t="s">
        <v>160</v>
      </c>
      <c r="C8" s="2" t="s">
        <v>161</v>
      </c>
      <c r="D8" s="2" t="s">
        <v>62</v>
      </c>
      <c r="E8" s="3">
        <v>44529.988733259481</v>
      </c>
      <c r="F8" s="6">
        <f t="shared" ca="1" si="0"/>
        <v>3.9150993609329294</v>
      </c>
      <c r="G8" s="4">
        <v>38.131159644585523</v>
      </c>
      <c r="H8" s="5">
        <v>27.901873732119675</v>
      </c>
    </row>
    <row r="9" spans="1:8">
      <c r="A9" s="2">
        <v>782</v>
      </c>
      <c r="B9" s="2" t="s">
        <v>170</v>
      </c>
      <c r="C9" s="2" t="s">
        <v>171</v>
      </c>
      <c r="D9" s="2" t="s">
        <v>61</v>
      </c>
      <c r="E9" s="3">
        <v>42019.386792296107</v>
      </c>
      <c r="F9" s="6">
        <f t="shared" ca="1" si="0"/>
        <v>10.793460843024365</v>
      </c>
      <c r="G9" s="4">
        <v>25.478327030885474</v>
      </c>
      <c r="H9" s="5">
        <v>38.832449868507879</v>
      </c>
    </row>
    <row r="10" spans="1:8">
      <c r="A10" s="2">
        <v>792</v>
      </c>
      <c r="B10" s="2" t="s">
        <v>122</v>
      </c>
      <c r="C10" s="2" t="s">
        <v>123</v>
      </c>
      <c r="D10" s="2" t="s">
        <v>60</v>
      </c>
      <c r="E10" s="3">
        <v>43457.9235212473</v>
      </c>
      <c r="F10" s="6">
        <f t="shared" ca="1" si="0"/>
        <v>6.8522643253498643</v>
      </c>
      <c r="G10" s="4">
        <v>35.782258518364181</v>
      </c>
      <c r="H10" s="5">
        <v>37.153992486013799</v>
      </c>
    </row>
    <row r="11" spans="1:8">
      <c r="A11" s="2">
        <v>743</v>
      </c>
      <c r="B11" s="2" t="s">
        <v>109</v>
      </c>
      <c r="C11" s="2" t="s">
        <v>110</v>
      </c>
      <c r="D11" s="2" t="s">
        <v>62</v>
      </c>
      <c r="E11" s="3">
        <v>44328.98446837614</v>
      </c>
      <c r="F11" s="6">
        <f t="shared" ca="1" si="0"/>
        <v>4.4657959770516706</v>
      </c>
      <c r="G11" s="4">
        <v>27.861077042566414</v>
      </c>
      <c r="H11" s="5">
        <v>34.027083928833065</v>
      </c>
    </row>
    <row r="12" spans="1:8">
      <c r="A12" s="2">
        <v>724</v>
      </c>
      <c r="B12" s="2" t="s">
        <v>120</v>
      </c>
      <c r="C12" s="2" t="s">
        <v>121</v>
      </c>
      <c r="D12" s="2" t="s">
        <v>66</v>
      </c>
      <c r="E12" s="3">
        <v>44622.370879935777</v>
      </c>
      <c r="F12" s="6">
        <f t="shared" ca="1" si="0"/>
        <v>3.6619975892170484</v>
      </c>
      <c r="G12" s="4">
        <v>26.130294812962653</v>
      </c>
      <c r="H12" s="5">
        <v>26.553947442073373</v>
      </c>
    </row>
    <row r="13" spans="1:8">
      <c r="A13" s="2">
        <v>721</v>
      </c>
      <c r="B13" s="2" t="s">
        <v>83</v>
      </c>
      <c r="C13" s="2" t="s">
        <v>84</v>
      </c>
      <c r="D13" s="2" t="s">
        <v>58</v>
      </c>
      <c r="E13" s="3">
        <v>41896.702941161122</v>
      </c>
      <c r="F13" s="6">
        <f t="shared" ca="1" si="0"/>
        <v>11.129580983120213</v>
      </c>
      <c r="G13" s="4">
        <v>26.917505930064422</v>
      </c>
      <c r="H13" s="5">
        <v>36.042559781694685</v>
      </c>
    </row>
    <row r="14" spans="1:8">
      <c r="A14" s="2">
        <v>758</v>
      </c>
      <c r="B14" s="2" t="s">
        <v>136</v>
      </c>
      <c r="C14" s="2" t="s">
        <v>137</v>
      </c>
      <c r="D14" s="2" t="s">
        <v>61</v>
      </c>
      <c r="E14" s="3">
        <v>45017.39192292087</v>
      </c>
      <c r="F14" s="6">
        <f t="shared" ca="1" si="0"/>
        <v>2.5797481563811795</v>
      </c>
      <c r="G14" s="4">
        <v>33.035464033388372</v>
      </c>
      <c r="H14" s="5">
        <v>28.431434900827277</v>
      </c>
    </row>
    <row r="15" spans="1:8">
      <c r="A15" s="2">
        <v>783</v>
      </c>
      <c r="B15" s="2" t="s">
        <v>166</v>
      </c>
      <c r="C15" s="2" t="s">
        <v>167</v>
      </c>
      <c r="D15" s="2" t="s">
        <v>70</v>
      </c>
      <c r="E15" s="3">
        <v>44835.437203568203</v>
      </c>
      <c r="F15" s="6">
        <f t="shared" ca="1" si="0"/>
        <v>3.0782542367994448</v>
      </c>
      <c r="G15" s="4">
        <v>33.233488195475573</v>
      </c>
      <c r="H15" s="5">
        <v>37.986821927306927</v>
      </c>
    </row>
    <row r="16" spans="1:8">
      <c r="A16" s="2">
        <v>751</v>
      </c>
      <c r="B16" s="2" t="s">
        <v>99</v>
      </c>
      <c r="C16" s="2" t="s">
        <v>100</v>
      </c>
      <c r="D16" s="2" t="s">
        <v>60</v>
      </c>
      <c r="E16" s="3">
        <v>42551.59846599937</v>
      </c>
      <c r="F16" s="6">
        <f t="shared" ca="1" si="0"/>
        <v>9.3353466684948767</v>
      </c>
      <c r="G16" s="4">
        <v>26.394071582721132</v>
      </c>
      <c r="H16" s="5">
        <v>31.942487063120431</v>
      </c>
    </row>
    <row r="17" spans="1:8">
      <c r="A17" s="2">
        <v>737</v>
      </c>
      <c r="B17" s="2" t="s">
        <v>85</v>
      </c>
      <c r="C17" s="2" t="s">
        <v>86</v>
      </c>
      <c r="D17" s="2" t="s">
        <v>70</v>
      </c>
      <c r="E17" s="3">
        <v>42957.250465946068</v>
      </c>
      <c r="F17" s="6">
        <f t="shared" ca="1" si="0"/>
        <v>8.223971326175155</v>
      </c>
      <c r="G17" s="4">
        <v>25.700826456269397</v>
      </c>
      <c r="H17" s="5">
        <v>36.277769698551708</v>
      </c>
    </row>
    <row r="18" spans="1:8">
      <c r="A18" s="2">
        <v>766</v>
      </c>
      <c r="B18" s="2" t="s">
        <v>164</v>
      </c>
      <c r="C18" s="2" t="s">
        <v>165</v>
      </c>
      <c r="D18" s="2" t="s">
        <v>58</v>
      </c>
      <c r="E18" s="3">
        <v>42988.160841048426</v>
      </c>
      <c r="F18" s="6">
        <f t="shared" ca="1" si="0"/>
        <v>8.1392853669906131</v>
      </c>
      <c r="G18" s="4">
        <v>26.055085103731372</v>
      </c>
      <c r="H18" s="5">
        <v>38.006054578626923</v>
      </c>
    </row>
    <row r="19" spans="1:8">
      <c r="A19" s="2">
        <v>785</v>
      </c>
      <c r="B19" s="2" t="s">
        <v>118</v>
      </c>
      <c r="C19" s="2" t="s">
        <v>119</v>
      </c>
      <c r="D19" s="2" t="s">
        <v>64</v>
      </c>
      <c r="E19" s="3">
        <v>42798.665655661818</v>
      </c>
      <c r="F19" s="6">
        <f t="shared" ca="1" si="0"/>
        <v>8.658450258460773</v>
      </c>
      <c r="G19" s="4">
        <v>34.711377833893671</v>
      </c>
      <c r="H19" s="5">
        <v>21.516780736684936</v>
      </c>
    </row>
    <row r="20" spans="1:8">
      <c r="A20" s="2">
        <v>766</v>
      </c>
      <c r="B20" s="2" t="s">
        <v>111</v>
      </c>
      <c r="C20" s="2" t="s">
        <v>112</v>
      </c>
      <c r="D20" s="2" t="s">
        <v>69</v>
      </c>
      <c r="E20" s="3">
        <v>42722.871131833126</v>
      </c>
      <c r="F20" s="6">
        <f t="shared" ca="1" si="0"/>
        <v>8.8661064881284215</v>
      </c>
      <c r="G20" s="4">
        <v>30.099256898627551</v>
      </c>
      <c r="H20" s="5">
        <v>37.606994757270762</v>
      </c>
    </row>
    <row r="21" spans="1:8">
      <c r="A21" s="2">
        <v>795</v>
      </c>
      <c r="B21" s="2" t="s">
        <v>142</v>
      </c>
      <c r="C21" s="2" t="s">
        <v>143</v>
      </c>
      <c r="D21" s="2" t="s">
        <v>70</v>
      </c>
      <c r="E21" s="3">
        <v>44416.148553936902</v>
      </c>
      <c r="F21" s="6">
        <f t="shared" ca="1" si="0"/>
        <v>4.2269902631865692</v>
      </c>
      <c r="G21" s="4">
        <v>20.430351599124322</v>
      </c>
      <c r="H21" s="5">
        <v>27.017363211406057</v>
      </c>
    </row>
    <row r="22" spans="1:8">
      <c r="A22" s="2">
        <v>714</v>
      </c>
      <c r="B22" s="2" t="s">
        <v>146</v>
      </c>
      <c r="C22" s="2" t="s">
        <v>147</v>
      </c>
      <c r="D22" s="2" t="s">
        <v>59</v>
      </c>
      <c r="E22" s="3">
        <v>42406.535908922859</v>
      </c>
      <c r="F22" s="6">
        <f t="shared" ca="1" si="0"/>
        <v>9.7327783317181957</v>
      </c>
      <c r="G22" s="4">
        <v>31.783898546839154</v>
      </c>
      <c r="H22" s="5">
        <v>35.756855686847921</v>
      </c>
    </row>
    <row r="23" spans="1:8">
      <c r="A23" s="2">
        <v>758</v>
      </c>
      <c r="B23" s="2" t="s">
        <v>150</v>
      </c>
      <c r="C23" s="2" t="s">
        <v>151</v>
      </c>
      <c r="D23" s="2" t="s">
        <v>65</v>
      </c>
      <c r="E23" s="3">
        <v>45098.763872342628</v>
      </c>
      <c r="F23" s="6">
        <f t="shared" ca="1" si="0"/>
        <v>2.3568113086503342</v>
      </c>
      <c r="G23" s="4">
        <v>36.44303308908011</v>
      </c>
      <c r="H23" s="5">
        <v>26.886464070545003</v>
      </c>
    </row>
    <row r="24" spans="1:8">
      <c r="A24" s="2">
        <v>729</v>
      </c>
      <c r="B24" s="2" t="s">
        <v>148</v>
      </c>
      <c r="C24" s="2" t="s">
        <v>149</v>
      </c>
      <c r="D24" s="2" t="s">
        <v>60</v>
      </c>
      <c r="E24" s="3">
        <v>43512.894853852915</v>
      </c>
      <c r="F24" s="6">
        <f t="shared" ca="1" si="0"/>
        <v>6.7016579346495488</v>
      </c>
      <c r="G24" s="4">
        <v>25.353789842127156</v>
      </c>
      <c r="H24" s="5">
        <v>27.145119228238222</v>
      </c>
    </row>
    <row r="25" spans="1:8">
      <c r="A25" s="2">
        <v>723</v>
      </c>
      <c r="B25" s="2" t="s">
        <v>158</v>
      </c>
      <c r="C25" s="2" t="s">
        <v>159</v>
      </c>
      <c r="D25" s="2" t="s">
        <v>60</v>
      </c>
      <c r="E25" s="3">
        <v>42566.352320694052</v>
      </c>
      <c r="F25" s="6">
        <f t="shared" ca="1" si="0"/>
        <v>9.2949251487834204</v>
      </c>
      <c r="G25" s="4">
        <v>28.152364184262602</v>
      </c>
      <c r="H25" s="5">
        <v>21.626248187921838</v>
      </c>
    </row>
    <row r="26" spans="1:8">
      <c r="A26" s="2">
        <v>736</v>
      </c>
      <c r="B26" s="2" t="s">
        <v>107</v>
      </c>
      <c r="C26" s="2" t="s">
        <v>108</v>
      </c>
      <c r="D26" s="2" t="s">
        <v>60</v>
      </c>
      <c r="E26" s="3">
        <v>42588.529748372224</v>
      </c>
      <c r="F26" s="6">
        <f t="shared" ca="1" si="0"/>
        <v>9.2341650729528109</v>
      </c>
      <c r="G26" s="4">
        <v>26.639908683416962</v>
      </c>
      <c r="H26" s="5">
        <v>39.79958928551406</v>
      </c>
    </row>
    <row r="27" spans="1:8">
      <c r="A27" s="2">
        <v>777</v>
      </c>
      <c r="B27" s="2" t="s">
        <v>144</v>
      </c>
      <c r="C27" s="2" t="s">
        <v>145</v>
      </c>
      <c r="D27" s="2" t="s">
        <v>61</v>
      </c>
      <c r="E27" s="3">
        <v>43361.494526277937</v>
      </c>
      <c r="F27" s="6">
        <f t="shared" ca="1" si="0"/>
        <v>7.1164533526631875</v>
      </c>
      <c r="G27" s="4">
        <v>35.206954966143577</v>
      </c>
      <c r="H27" s="5">
        <v>29.171149447201202</v>
      </c>
    </row>
    <row r="28" spans="1:8">
      <c r="A28" s="2">
        <v>731</v>
      </c>
      <c r="B28" s="2" t="s">
        <v>73</v>
      </c>
      <c r="C28" s="2" t="s">
        <v>74</v>
      </c>
      <c r="D28" s="2" t="s">
        <v>67</v>
      </c>
      <c r="E28" s="3">
        <v>44167.207205993844</v>
      </c>
      <c r="F28" s="6">
        <f t="shared" ca="1" si="0"/>
        <v>4.9090213534415241</v>
      </c>
      <c r="G28" s="4">
        <v>26.582563460292626</v>
      </c>
      <c r="H28" s="5">
        <v>25.07793449759528</v>
      </c>
    </row>
    <row r="29" spans="1:8">
      <c r="A29" s="2">
        <v>791</v>
      </c>
      <c r="B29" s="2" t="s">
        <v>103</v>
      </c>
      <c r="C29" s="2" t="s">
        <v>104</v>
      </c>
      <c r="D29" s="2" t="s">
        <v>66</v>
      </c>
      <c r="E29" s="3">
        <v>42331.820845291331</v>
      </c>
      <c r="F29" s="6">
        <f t="shared" ca="1" si="0"/>
        <v>9.937477136188134</v>
      </c>
      <c r="G29" s="4">
        <v>31.265013619538045</v>
      </c>
      <c r="H29" s="5">
        <v>39.517299833019564</v>
      </c>
    </row>
    <row r="30" spans="1:8">
      <c r="A30" s="2">
        <v>711</v>
      </c>
      <c r="B30" s="2" t="s">
        <v>87</v>
      </c>
      <c r="C30" s="2" t="s">
        <v>88</v>
      </c>
      <c r="D30" s="2" t="s">
        <v>61</v>
      </c>
      <c r="E30" s="3">
        <v>43050.698662822397</v>
      </c>
      <c r="F30" s="6">
        <f t="shared" ca="1" si="0"/>
        <v>7.9679488689797351</v>
      </c>
      <c r="G30" s="4">
        <v>26.660820974835211</v>
      </c>
      <c r="H30" s="5">
        <v>23.540537390209309</v>
      </c>
    </row>
    <row r="31" spans="1:8">
      <c r="A31" s="2">
        <v>702</v>
      </c>
      <c r="B31" s="2" t="s">
        <v>79</v>
      </c>
      <c r="C31" s="2" t="s">
        <v>80</v>
      </c>
      <c r="D31" s="2" t="s">
        <v>61</v>
      </c>
      <c r="E31" s="3">
        <v>42236.614176307186</v>
      </c>
      <c r="F31" s="6">
        <f t="shared" ca="1" si="0"/>
        <v>10.198317325185791</v>
      </c>
      <c r="G31" s="4">
        <v>34.21501652453059</v>
      </c>
      <c r="H31" s="5">
        <v>26.934531148271134</v>
      </c>
    </row>
    <row r="32" spans="1:8">
      <c r="A32" s="2">
        <v>758</v>
      </c>
      <c r="B32" s="2" t="s">
        <v>156</v>
      </c>
      <c r="C32" s="2" t="s">
        <v>157</v>
      </c>
      <c r="D32" s="2" t="s">
        <v>60</v>
      </c>
      <c r="E32" s="3">
        <v>44447.054903007484</v>
      </c>
      <c r="F32" s="6">
        <f t="shared" ca="1" si="0"/>
        <v>4.1423153342260726</v>
      </c>
      <c r="G32" s="4">
        <v>28.782635958114668</v>
      </c>
      <c r="H32" s="5">
        <v>30.309625529184387</v>
      </c>
    </row>
    <row r="33" spans="1:8">
      <c r="A33" s="2">
        <v>735</v>
      </c>
      <c r="B33" s="2" t="s">
        <v>91</v>
      </c>
      <c r="C33" s="2" t="s">
        <v>92</v>
      </c>
      <c r="D33" s="2" t="s">
        <v>60</v>
      </c>
      <c r="E33" s="3">
        <v>43973.803999472337</v>
      </c>
      <c r="F33" s="6">
        <f t="shared" ca="1" si="0"/>
        <v>5.4388931521305839</v>
      </c>
      <c r="G33" s="4">
        <v>27.213857121681308</v>
      </c>
      <c r="H33" s="5">
        <v>26.517452207227834</v>
      </c>
    </row>
    <row r="34" spans="1:8">
      <c r="A34" s="2">
        <v>756</v>
      </c>
      <c r="B34" s="2" t="s">
        <v>101</v>
      </c>
      <c r="C34" s="2" t="s">
        <v>102</v>
      </c>
      <c r="D34" s="2" t="s">
        <v>64</v>
      </c>
      <c r="E34" s="3">
        <v>43174.53206767152</v>
      </c>
      <c r="F34" s="6">
        <f t="shared" ca="1" si="0"/>
        <v>7.6286792666533696</v>
      </c>
      <c r="G34" s="4">
        <v>39.903076288743073</v>
      </c>
      <c r="H34" s="5">
        <v>35.997824788060065</v>
      </c>
    </row>
    <row r="35" spans="1:8">
      <c r="A35" s="2">
        <v>771</v>
      </c>
      <c r="B35" s="2" t="s">
        <v>77</v>
      </c>
      <c r="C35" s="2" t="s">
        <v>78</v>
      </c>
      <c r="D35" s="2" t="s">
        <v>68</v>
      </c>
      <c r="E35" s="3">
        <v>43663.066376366958</v>
      </c>
      <c r="F35" s="6">
        <f t="shared" ca="1" si="0"/>
        <v>6.2902291058439506</v>
      </c>
      <c r="G35" s="4">
        <v>33.445802454765435</v>
      </c>
      <c r="H35" s="5">
        <v>37.495359252405187</v>
      </c>
    </row>
    <row r="36" spans="1:8">
      <c r="A36" s="2">
        <v>744</v>
      </c>
      <c r="B36" s="2" t="s">
        <v>105</v>
      </c>
      <c r="C36" s="2" t="s">
        <v>106</v>
      </c>
      <c r="D36" s="2" t="s">
        <v>60</v>
      </c>
      <c r="E36" s="3">
        <v>43919.292773794274</v>
      </c>
      <c r="F36" s="6">
        <f t="shared" ca="1" si="0"/>
        <v>5.5882389759060995</v>
      </c>
      <c r="G36" s="4">
        <v>24.631684099159749</v>
      </c>
      <c r="H36" s="5">
        <v>25.059291588256919</v>
      </c>
    </row>
    <row r="37" spans="1:8">
      <c r="A37" s="2">
        <v>776</v>
      </c>
      <c r="B37" s="2" t="s">
        <v>128</v>
      </c>
      <c r="C37" s="2" t="s">
        <v>129</v>
      </c>
      <c r="D37" s="2" t="s">
        <v>69</v>
      </c>
      <c r="E37" s="3">
        <v>42368.530478862376</v>
      </c>
      <c r="F37" s="6">
        <f t="shared" ca="1" si="0"/>
        <v>9.8369027976373253</v>
      </c>
      <c r="G37" s="4">
        <v>30.034484061423591</v>
      </c>
      <c r="H37" s="5">
        <v>29.319274473404661</v>
      </c>
    </row>
    <row r="38" spans="1:8">
      <c r="A38" s="2">
        <v>788</v>
      </c>
      <c r="B38" s="2" t="s">
        <v>132</v>
      </c>
      <c r="C38" s="2" t="s">
        <v>133</v>
      </c>
      <c r="D38" s="2" t="s">
        <v>70</v>
      </c>
      <c r="E38" s="3">
        <v>43356.868124677014</v>
      </c>
      <c r="F38" s="6">
        <f t="shared" ca="1" si="0"/>
        <v>7.1291284255424276</v>
      </c>
      <c r="G38" s="4">
        <v>35.752986201235295</v>
      </c>
      <c r="H38" s="5">
        <v>21.177756761511475</v>
      </c>
    </row>
    <row r="39" spans="1:8">
      <c r="A39" s="2">
        <v>751</v>
      </c>
      <c r="B39" s="2" t="s">
        <v>115</v>
      </c>
      <c r="C39" s="2" t="s">
        <v>116</v>
      </c>
      <c r="D39" s="2" t="s">
        <v>70</v>
      </c>
      <c r="E39" s="3">
        <v>45108.571934108644</v>
      </c>
      <c r="F39" s="6">
        <f t="shared" ca="1" si="0"/>
        <v>2.3299399065516599</v>
      </c>
      <c r="G39" s="4">
        <v>34.420448563831357</v>
      </c>
      <c r="H39" s="5">
        <v>30.881529326539145</v>
      </c>
    </row>
    <row r="40" spans="1:8">
      <c r="A40" s="2">
        <v>741</v>
      </c>
      <c r="B40" s="2" t="s">
        <v>93</v>
      </c>
      <c r="C40" s="2" t="s">
        <v>94</v>
      </c>
      <c r="D40" s="2" t="s">
        <v>65</v>
      </c>
      <c r="E40" s="3">
        <v>45091.124344444826</v>
      </c>
      <c r="F40" s="6">
        <f t="shared" ca="1" si="0"/>
        <v>2.3777415220689688</v>
      </c>
      <c r="G40" s="4">
        <v>28.489241245772973</v>
      </c>
      <c r="H40" s="5">
        <v>35.808734831614323</v>
      </c>
    </row>
    <row r="41" spans="1:8">
      <c r="A41" s="2">
        <v>740</v>
      </c>
      <c r="B41" s="2" t="s">
        <v>152</v>
      </c>
      <c r="C41" s="2" t="s">
        <v>153</v>
      </c>
      <c r="D41" s="2" t="s">
        <v>64</v>
      </c>
      <c r="E41" s="3">
        <v>42776.559604468719</v>
      </c>
      <c r="F41" s="6">
        <f t="shared" ca="1" si="0"/>
        <v>8.7190147822774815</v>
      </c>
      <c r="G41" s="4">
        <v>27.775711189378704</v>
      </c>
      <c r="H41" s="5">
        <v>24.761132878810791</v>
      </c>
    </row>
    <row r="42" spans="1:8">
      <c r="A42" s="2">
        <v>710</v>
      </c>
      <c r="B42" s="2" t="s">
        <v>154</v>
      </c>
      <c r="C42" s="2" t="s">
        <v>155</v>
      </c>
      <c r="D42" s="2" t="s">
        <v>66</v>
      </c>
      <c r="E42" s="3">
        <v>42928.588193521231</v>
      </c>
      <c r="F42" s="6">
        <f t="shared" ca="1" si="0"/>
        <v>8.3024980999418325</v>
      </c>
      <c r="G42" s="4">
        <v>30.942327317246061</v>
      </c>
      <c r="H42" s="5">
        <v>20.033041187170575</v>
      </c>
    </row>
    <row r="43" spans="1:8">
      <c r="A43" s="2">
        <v>749</v>
      </c>
      <c r="B43" s="2" t="s">
        <v>134</v>
      </c>
      <c r="C43" s="2" t="s">
        <v>135</v>
      </c>
      <c r="D43" s="2" t="s">
        <v>68</v>
      </c>
      <c r="E43" s="3">
        <v>43755.465285879822</v>
      </c>
      <c r="F43" s="6">
        <f t="shared" ca="1" si="0"/>
        <v>6.0370814085484339</v>
      </c>
      <c r="G43" s="4">
        <v>30.721256007990682</v>
      </c>
      <c r="H43" s="5">
        <v>25.712852589312803</v>
      </c>
    </row>
    <row r="44" spans="1:8">
      <c r="A44" s="2">
        <v>781</v>
      </c>
      <c r="B44" s="2" t="s">
        <v>75</v>
      </c>
      <c r="C44" s="2" t="s">
        <v>76</v>
      </c>
      <c r="D44" s="2" t="s">
        <v>61</v>
      </c>
      <c r="E44" s="3">
        <v>44223.014975239028</v>
      </c>
      <c r="F44" s="6">
        <f t="shared" ca="1" si="0"/>
        <v>4.7561233555095122</v>
      </c>
      <c r="G44" s="4">
        <v>31.21293462426479</v>
      </c>
      <c r="H44" s="5">
        <v>35.159650022683792</v>
      </c>
    </row>
    <row r="45" spans="1:8">
      <c r="A45" s="2">
        <v>798</v>
      </c>
      <c r="B45" s="2" t="s">
        <v>97</v>
      </c>
      <c r="C45" s="2" t="s">
        <v>98</v>
      </c>
      <c r="D45" s="2" t="s">
        <v>64</v>
      </c>
      <c r="E45" s="3">
        <v>44835.32386619586</v>
      </c>
      <c r="F45" s="6">
        <f t="shared" ca="1" si="0"/>
        <v>3.078564750148328</v>
      </c>
      <c r="G45" s="4">
        <v>35.293069839071713</v>
      </c>
      <c r="H45" s="5">
        <v>24.630726342036226</v>
      </c>
    </row>
    <row r="46" spans="1:8">
      <c r="A46" s="2">
        <v>777</v>
      </c>
      <c r="B46" s="2" t="s">
        <v>81</v>
      </c>
      <c r="C46" s="2" t="s">
        <v>82</v>
      </c>
      <c r="D46" s="2" t="s">
        <v>69</v>
      </c>
      <c r="E46" s="3">
        <v>43791.902610858851</v>
      </c>
      <c r="F46" s="6">
        <f t="shared" ca="1" si="0"/>
        <v>5.9372531209346535</v>
      </c>
      <c r="G46" s="4">
        <v>39.806845012796202</v>
      </c>
      <c r="H46" s="5">
        <v>22.842243779196053</v>
      </c>
    </row>
    <row r="47" spans="1:8">
      <c r="A47" s="2">
        <v>772</v>
      </c>
      <c r="B47" s="2" t="s">
        <v>113</v>
      </c>
      <c r="C47" s="2" t="s">
        <v>114</v>
      </c>
      <c r="D47" s="2" t="s">
        <v>58</v>
      </c>
      <c r="E47" s="3">
        <v>42239.959898583453</v>
      </c>
      <c r="F47" s="6">
        <f t="shared" ca="1" si="0"/>
        <v>10.18915096278506</v>
      </c>
      <c r="G47" s="4">
        <v>38.619056402535286</v>
      </c>
      <c r="H47" s="5">
        <v>28.732095190962873</v>
      </c>
    </row>
    <row r="48" spans="1:8">
      <c r="A48" s="2">
        <v>701</v>
      </c>
      <c r="B48" s="2" t="s">
        <v>162</v>
      </c>
      <c r="C48" s="2" t="s">
        <v>163</v>
      </c>
      <c r="D48" s="2" t="s">
        <v>69</v>
      </c>
      <c r="E48" s="3">
        <v>44696.606884228873</v>
      </c>
      <c r="F48" s="6">
        <f t="shared" ca="1" si="0"/>
        <v>3.458611276085279</v>
      </c>
      <c r="G48" s="4">
        <v>22.5333498380934</v>
      </c>
      <c r="H48" s="5">
        <v>24.833700707045381</v>
      </c>
    </row>
    <row r="49" spans="1:8">
      <c r="A49" s="2">
        <v>716</v>
      </c>
      <c r="B49" s="2" t="s">
        <v>130</v>
      </c>
      <c r="C49" s="2" t="s">
        <v>131</v>
      </c>
      <c r="D49" s="2" t="s">
        <v>58</v>
      </c>
      <c r="E49" s="3">
        <v>42701.126930425431</v>
      </c>
      <c r="F49" s="6">
        <f t="shared" ca="1" si="0"/>
        <v>8.9256796426700511</v>
      </c>
      <c r="G49" s="4">
        <v>25.309543015369165</v>
      </c>
      <c r="H49" s="5">
        <v>22.67783157792703</v>
      </c>
    </row>
    <row r="50" spans="1:8">
      <c r="A50" s="2">
        <v>759</v>
      </c>
      <c r="B50" s="2" t="s">
        <v>124</v>
      </c>
      <c r="C50" s="2" t="s">
        <v>125</v>
      </c>
      <c r="D50" s="2" t="s">
        <v>60</v>
      </c>
      <c r="E50" s="3">
        <v>44523.818447218218</v>
      </c>
      <c r="F50" s="6">
        <f t="shared" ca="1" si="0"/>
        <v>3.932004254196662</v>
      </c>
      <c r="G50" s="4">
        <v>38.897068844353498</v>
      </c>
      <c r="H50" s="5">
        <v>33.575234724702689</v>
      </c>
    </row>
    <row r="51" spans="1:8">
      <c r="A51" s="2">
        <v>721</v>
      </c>
      <c r="B51" s="2" t="s">
        <v>108</v>
      </c>
      <c r="C51" s="2" t="s">
        <v>117</v>
      </c>
      <c r="D51" s="2" t="s">
        <v>60</v>
      </c>
      <c r="E51" s="3">
        <v>44426.709149555398</v>
      </c>
      <c r="F51" s="6">
        <f t="shared" ca="1" si="0"/>
        <v>4.1980571245057599</v>
      </c>
      <c r="G51" s="4">
        <v>30.124557747982166</v>
      </c>
      <c r="H51" s="5">
        <v>35.592738672079726</v>
      </c>
    </row>
    <row r="52" spans="1:8">
      <c r="A52" s="2">
        <v>715</v>
      </c>
      <c r="B52" s="2" t="s">
        <v>140</v>
      </c>
      <c r="C52" s="2" t="s">
        <v>141</v>
      </c>
      <c r="D52" s="2" t="s">
        <v>58</v>
      </c>
      <c r="E52" s="3">
        <v>41975.553172036125</v>
      </c>
      <c r="F52" s="6">
        <f t="shared" ca="1" si="0"/>
        <v>10.913552953325684</v>
      </c>
      <c r="G52" s="4">
        <v>32.753529741025282</v>
      </c>
      <c r="H52" s="5">
        <v>20.056161259455173</v>
      </c>
    </row>
  </sheetData>
  <sortState ref="A3:H52">
    <sortCondition ref="C3:C52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10"/>
  <sheetViews>
    <sheetView tabSelected="1" topLeftCell="G1" workbookViewId="0">
      <selection activeCell="J4" sqref="J4:O8"/>
    </sheetView>
  </sheetViews>
  <sheetFormatPr defaultRowHeight="15"/>
  <cols>
    <col min="1" max="1" width="12.77734375" bestFit="1" customWidth="1"/>
    <col min="2" max="2" width="14" bestFit="1" customWidth="1"/>
    <col min="5" max="5" width="12.77734375" bestFit="1" customWidth="1"/>
    <col min="6" max="6" width="13.33203125" bestFit="1" customWidth="1"/>
    <col min="9" max="9" width="27.44140625" bestFit="1" customWidth="1"/>
    <col min="10" max="10" width="15.6640625" customWidth="1"/>
    <col min="11" max="11" width="7.21875" customWidth="1"/>
    <col min="12" max="12" width="8.21875" customWidth="1"/>
    <col min="13" max="13" width="9.33203125" customWidth="1"/>
    <col min="14" max="14" width="8.21875" customWidth="1"/>
    <col min="15" max="15" width="10.88671875" customWidth="1"/>
  </cols>
  <sheetData>
    <row r="1" spans="1:15">
      <c r="I1" s="33" t="s">
        <v>223</v>
      </c>
      <c r="J1" t="s">
        <v>337</v>
      </c>
    </row>
    <row r="3" spans="1:15">
      <c r="A3" s="33" t="s">
        <v>332</v>
      </c>
      <c r="B3" t="s">
        <v>333</v>
      </c>
      <c r="E3" s="33" t="s">
        <v>332</v>
      </c>
      <c r="F3" t="s">
        <v>334</v>
      </c>
      <c r="I3" s="33" t="s">
        <v>336</v>
      </c>
      <c r="J3" s="33" t="s">
        <v>335</v>
      </c>
    </row>
    <row r="4" spans="1:15">
      <c r="A4" s="31" t="s">
        <v>244</v>
      </c>
      <c r="B4" s="34">
        <v>38</v>
      </c>
      <c r="E4" s="31" t="s">
        <v>244</v>
      </c>
      <c r="F4" s="35">
        <v>1651357</v>
      </c>
      <c r="I4" s="33" t="s">
        <v>332</v>
      </c>
      <c r="J4" t="s">
        <v>244</v>
      </c>
      <c r="K4" t="s">
        <v>262</v>
      </c>
      <c r="L4" t="s">
        <v>248</v>
      </c>
      <c r="M4" t="s">
        <v>233</v>
      </c>
      <c r="N4" t="s">
        <v>239</v>
      </c>
      <c r="O4" t="s">
        <v>218</v>
      </c>
    </row>
    <row r="5" spans="1:15">
      <c r="A5" s="31" t="s">
        <v>262</v>
      </c>
      <c r="B5" s="34">
        <v>40</v>
      </c>
      <c r="E5" s="31" t="s">
        <v>262</v>
      </c>
      <c r="F5" s="35">
        <v>1167113</v>
      </c>
      <c r="I5" s="31" t="s">
        <v>254</v>
      </c>
      <c r="J5" s="37">
        <v>1.0514285714285714</v>
      </c>
      <c r="K5" s="37">
        <v>0.48</v>
      </c>
      <c r="L5" s="37">
        <v>1.0514285714285714</v>
      </c>
      <c r="M5" s="37">
        <v>0.96</v>
      </c>
      <c r="N5" s="37">
        <v>1.0880000000000001</v>
      </c>
      <c r="O5" s="37">
        <v>1</v>
      </c>
    </row>
    <row r="6" spans="1:15">
      <c r="A6" s="31" t="s">
        <v>248</v>
      </c>
      <c r="B6" s="34">
        <v>40.045454545454547</v>
      </c>
      <c r="E6" s="31" t="s">
        <v>248</v>
      </c>
      <c r="F6" s="35">
        <v>1872686</v>
      </c>
      <c r="I6" s="31" t="s">
        <v>241</v>
      </c>
      <c r="J6" s="37">
        <v>0.76704545454545459</v>
      </c>
      <c r="K6" s="37">
        <v>0.97159090909090906</v>
      </c>
      <c r="L6" s="37">
        <v>1.095779220779221</v>
      </c>
      <c r="M6" s="37">
        <v>0.86931818181818188</v>
      </c>
      <c r="N6" s="37">
        <v>1.3039772727272727</v>
      </c>
      <c r="O6" s="37">
        <v>1</v>
      </c>
    </row>
    <row r="7" spans="1:15">
      <c r="A7" s="31" t="s">
        <v>233</v>
      </c>
      <c r="B7" s="34">
        <v>40.277777777777779</v>
      </c>
      <c r="E7" s="31" t="s">
        <v>233</v>
      </c>
      <c r="F7" s="35">
        <v>1528272</v>
      </c>
      <c r="I7" s="31" t="s">
        <v>235</v>
      </c>
      <c r="J7" s="37">
        <v>1.1973684210526316</v>
      </c>
      <c r="K7" s="37">
        <v>0.76973684210526316</v>
      </c>
      <c r="L7" s="37">
        <v>0</v>
      </c>
      <c r="M7" s="37">
        <v>1.2543859649122808</v>
      </c>
      <c r="N7" s="37">
        <v>0.94078947368421062</v>
      </c>
      <c r="O7" s="37">
        <v>1</v>
      </c>
    </row>
    <row r="8" spans="1:15">
      <c r="A8" s="31" t="s">
        <v>239</v>
      </c>
      <c r="B8" s="34">
        <v>46.391304347826086</v>
      </c>
      <c r="E8" s="31" t="s">
        <v>239</v>
      </c>
      <c r="F8" s="35">
        <v>1820246</v>
      </c>
      <c r="I8" s="31" t="s">
        <v>250</v>
      </c>
      <c r="J8" s="37">
        <v>0.88709677419354838</v>
      </c>
      <c r="K8" s="37">
        <v>0.70967741935483863</v>
      </c>
      <c r="L8" s="37">
        <v>1.064516129032258</v>
      </c>
      <c r="M8" s="37">
        <v>1.4193548387096773</v>
      </c>
      <c r="N8" s="37">
        <v>0.86175115207373265</v>
      </c>
      <c r="O8" s="37">
        <v>1</v>
      </c>
    </row>
    <row r="9" spans="1:15">
      <c r="A9" s="31" t="s">
        <v>218</v>
      </c>
      <c r="B9" s="34">
        <v>41.11</v>
      </c>
      <c r="E9" s="31" t="s">
        <v>218</v>
      </c>
      <c r="F9" s="35">
        <v>8039674</v>
      </c>
      <c r="I9" s="31" t="s">
        <v>245</v>
      </c>
      <c r="J9" s="37">
        <v>1.1367521367521367</v>
      </c>
      <c r="K9" s="37">
        <v>1.0769230769230769</v>
      </c>
      <c r="L9" s="37">
        <v>0</v>
      </c>
      <c r="M9" s="37">
        <v>0.71794871794871795</v>
      </c>
      <c r="N9" s="37">
        <v>0.95726495726495731</v>
      </c>
      <c r="O9" s="37">
        <v>1</v>
      </c>
    </row>
    <row r="10" spans="1:15">
      <c r="I10" s="31" t="s">
        <v>218</v>
      </c>
      <c r="J10" s="36">
        <v>1.009145380006307</v>
      </c>
      <c r="K10" s="36">
        <v>0.84850993377483441</v>
      </c>
      <c r="L10" s="36">
        <v>1.0836845273931368</v>
      </c>
      <c r="M10" s="36">
        <v>1.0117733627667402</v>
      </c>
      <c r="N10" s="36">
        <v>1.0077742585660812</v>
      </c>
      <c r="O10" s="3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M101"/>
  <sheetViews>
    <sheetView workbookViewId="0">
      <selection activeCell="E3" sqref="E3"/>
    </sheetView>
  </sheetViews>
  <sheetFormatPr defaultRowHeight="15"/>
  <cols>
    <col min="1" max="1" width="10.44140625" style="31" bestFit="1" customWidth="1"/>
    <col min="2" max="2" width="17.21875" bestFit="1" customWidth="1"/>
    <col min="3" max="3" width="4.21875" bestFit="1" customWidth="1"/>
    <col min="4" max="4" width="7.21875" bestFit="1" customWidth="1"/>
    <col min="5" max="5" width="10.109375" bestFit="1" customWidth="1"/>
    <col min="6" max="6" width="17.77734375" bestFit="1" customWidth="1"/>
    <col min="7" max="7" width="7" bestFit="1" customWidth="1"/>
    <col min="8" max="8" width="8.109375" bestFit="1" customWidth="1"/>
    <col min="9" max="9" width="16.109375" style="1" bestFit="1" customWidth="1"/>
    <col min="10" max="10" width="13.44140625" bestFit="1" customWidth="1"/>
    <col min="11" max="11" width="16.6640625" bestFit="1" customWidth="1"/>
    <col min="12" max="12" width="15.77734375" bestFit="1" customWidth="1"/>
    <col min="13" max="13" width="16.21875" bestFit="1" customWidth="1"/>
  </cols>
  <sheetData>
    <row r="1" spans="1:13" s="32" customFormat="1" ht="15.75">
      <c r="A1" s="32" t="s">
        <v>219</v>
      </c>
      <c r="B1" s="32" t="s">
        <v>1</v>
      </c>
      <c r="C1" s="32" t="s">
        <v>220</v>
      </c>
      <c r="D1" s="32" t="s">
        <v>221</v>
      </c>
      <c r="E1" s="32" t="s">
        <v>222</v>
      </c>
      <c r="F1" s="32" t="s">
        <v>223</v>
      </c>
      <c r="G1" s="32" t="s">
        <v>224</v>
      </c>
      <c r="H1" s="32" t="s">
        <v>225</v>
      </c>
      <c r="I1" s="32" t="s">
        <v>226</v>
      </c>
      <c r="J1" s="32" t="s">
        <v>227</v>
      </c>
      <c r="K1" s="32" t="s">
        <v>228</v>
      </c>
      <c r="L1" s="32" t="s">
        <v>229</v>
      </c>
      <c r="M1" s="32" t="s">
        <v>230</v>
      </c>
    </row>
    <row r="2" spans="1:13">
      <c r="A2" s="31">
        <v>1</v>
      </c>
      <c r="B2" t="s">
        <v>231</v>
      </c>
      <c r="C2">
        <v>28</v>
      </c>
      <c r="D2" t="s">
        <v>232</v>
      </c>
      <c r="E2" t="s">
        <v>233</v>
      </c>
      <c r="F2" t="s">
        <v>234</v>
      </c>
      <c r="G2">
        <v>94617</v>
      </c>
      <c r="H2" s="30">
        <v>43209</v>
      </c>
      <c r="I2" s="1">
        <v>4</v>
      </c>
      <c r="J2" t="s">
        <v>235</v>
      </c>
      <c r="K2">
        <v>27</v>
      </c>
      <c r="L2" t="s">
        <v>236</v>
      </c>
      <c r="M2">
        <v>99</v>
      </c>
    </row>
    <row r="3" spans="1:13">
      <c r="A3" s="31">
        <v>2</v>
      </c>
      <c r="B3" t="s">
        <v>237</v>
      </c>
      <c r="C3">
        <v>59</v>
      </c>
      <c r="D3" t="s">
        <v>238</v>
      </c>
      <c r="E3" t="s">
        <v>239</v>
      </c>
      <c r="F3" t="s">
        <v>240</v>
      </c>
      <c r="G3">
        <v>91086</v>
      </c>
      <c r="H3" s="30">
        <v>42710</v>
      </c>
      <c r="I3" s="1">
        <v>4</v>
      </c>
      <c r="J3" t="s">
        <v>241</v>
      </c>
      <c r="K3">
        <v>11</v>
      </c>
      <c r="L3" t="s">
        <v>242</v>
      </c>
      <c r="M3">
        <v>73</v>
      </c>
    </row>
    <row r="4" spans="1:13">
      <c r="A4" s="31">
        <v>3</v>
      </c>
      <c r="B4" t="s">
        <v>243</v>
      </c>
      <c r="C4">
        <v>38</v>
      </c>
      <c r="D4" t="s">
        <v>238</v>
      </c>
      <c r="E4" t="s">
        <v>244</v>
      </c>
      <c r="F4" t="s">
        <v>234</v>
      </c>
      <c r="G4">
        <v>78843</v>
      </c>
      <c r="H4" s="30">
        <v>42396</v>
      </c>
      <c r="I4" s="1">
        <v>3</v>
      </c>
      <c r="J4" t="s">
        <v>245</v>
      </c>
      <c r="K4">
        <v>13</v>
      </c>
      <c r="L4" t="s">
        <v>246</v>
      </c>
      <c r="M4">
        <v>84</v>
      </c>
    </row>
    <row r="5" spans="1:13">
      <c r="A5" s="31">
        <v>4</v>
      </c>
      <c r="B5" t="s">
        <v>247</v>
      </c>
      <c r="C5">
        <v>57</v>
      </c>
      <c r="D5" t="s">
        <v>238</v>
      </c>
      <c r="E5" t="s">
        <v>248</v>
      </c>
      <c r="F5" t="s">
        <v>249</v>
      </c>
      <c r="G5">
        <v>82184</v>
      </c>
      <c r="H5" s="30">
        <v>40470</v>
      </c>
      <c r="I5" s="1">
        <v>4</v>
      </c>
      <c r="J5" t="s">
        <v>250</v>
      </c>
      <c r="K5">
        <v>35</v>
      </c>
      <c r="L5" t="s">
        <v>251</v>
      </c>
      <c r="M5">
        <v>78</v>
      </c>
    </row>
    <row r="6" spans="1:13">
      <c r="A6" s="31">
        <v>5</v>
      </c>
      <c r="B6" t="s">
        <v>252</v>
      </c>
      <c r="C6">
        <v>45</v>
      </c>
      <c r="D6" t="s">
        <v>238</v>
      </c>
      <c r="E6" t="s">
        <v>248</v>
      </c>
      <c r="F6" t="s">
        <v>253</v>
      </c>
      <c r="G6">
        <v>110386</v>
      </c>
      <c r="H6" s="30">
        <v>40549</v>
      </c>
      <c r="I6" s="1">
        <v>4</v>
      </c>
      <c r="J6" t="s">
        <v>254</v>
      </c>
      <c r="K6">
        <v>37</v>
      </c>
      <c r="L6" t="s">
        <v>246</v>
      </c>
      <c r="M6">
        <v>66</v>
      </c>
    </row>
    <row r="7" spans="1:13">
      <c r="A7" s="31">
        <v>6</v>
      </c>
      <c r="B7" t="s">
        <v>255</v>
      </c>
      <c r="C7">
        <v>41</v>
      </c>
      <c r="D7" t="s">
        <v>238</v>
      </c>
      <c r="E7" t="s">
        <v>248</v>
      </c>
      <c r="F7" t="s">
        <v>249</v>
      </c>
      <c r="G7">
        <v>114670</v>
      </c>
      <c r="H7" s="30">
        <v>41235</v>
      </c>
      <c r="I7" s="1">
        <v>3</v>
      </c>
      <c r="J7" t="s">
        <v>254</v>
      </c>
      <c r="K7">
        <v>8</v>
      </c>
      <c r="L7" t="s">
        <v>236</v>
      </c>
      <c r="M7">
        <v>69</v>
      </c>
    </row>
    <row r="8" spans="1:13">
      <c r="A8" s="31">
        <v>7</v>
      </c>
      <c r="B8" t="s">
        <v>256</v>
      </c>
      <c r="C8">
        <v>23</v>
      </c>
      <c r="D8" t="s">
        <v>232</v>
      </c>
      <c r="E8" t="s">
        <v>239</v>
      </c>
      <c r="F8" t="s">
        <v>257</v>
      </c>
      <c r="G8">
        <v>85896</v>
      </c>
      <c r="H8" s="30">
        <v>42699</v>
      </c>
      <c r="I8" s="1">
        <v>3</v>
      </c>
      <c r="J8" t="s">
        <v>245</v>
      </c>
      <c r="K8">
        <v>3</v>
      </c>
      <c r="L8" t="s">
        <v>258</v>
      </c>
      <c r="M8">
        <v>65</v>
      </c>
    </row>
    <row r="9" spans="1:13">
      <c r="A9" s="31">
        <v>8</v>
      </c>
      <c r="B9" t="s">
        <v>259</v>
      </c>
      <c r="C9">
        <v>33</v>
      </c>
      <c r="D9" t="s">
        <v>238</v>
      </c>
      <c r="E9" t="s">
        <v>239</v>
      </c>
      <c r="F9" t="s">
        <v>240</v>
      </c>
      <c r="G9">
        <v>73671</v>
      </c>
      <c r="H9" s="30">
        <v>43005</v>
      </c>
      <c r="I9" s="1">
        <v>1</v>
      </c>
      <c r="J9" t="s">
        <v>235</v>
      </c>
      <c r="K9">
        <v>30</v>
      </c>
      <c r="L9" t="s">
        <v>251</v>
      </c>
      <c r="M9">
        <v>61</v>
      </c>
    </row>
    <row r="10" spans="1:13">
      <c r="A10" s="31">
        <v>9</v>
      </c>
      <c r="B10" t="s">
        <v>260</v>
      </c>
      <c r="C10">
        <v>33</v>
      </c>
      <c r="D10" t="s">
        <v>232</v>
      </c>
      <c r="E10" t="s">
        <v>248</v>
      </c>
      <c r="F10" t="s">
        <v>257</v>
      </c>
      <c r="G10">
        <v>52300</v>
      </c>
      <c r="H10" s="30">
        <v>41877</v>
      </c>
      <c r="I10" s="1">
        <v>2</v>
      </c>
      <c r="J10" t="s">
        <v>241</v>
      </c>
      <c r="K10">
        <v>28</v>
      </c>
      <c r="L10" t="s">
        <v>236</v>
      </c>
      <c r="M10">
        <v>75</v>
      </c>
    </row>
    <row r="11" spans="1:13">
      <c r="A11" s="31">
        <v>10</v>
      </c>
      <c r="B11" t="s">
        <v>261</v>
      </c>
      <c r="C11">
        <v>54</v>
      </c>
      <c r="D11" t="s">
        <v>232</v>
      </c>
      <c r="E11" t="s">
        <v>262</v>
      </c>
      <c r="F11" t="s">
        <v>234</v>
      </c>
      <c r="G11">
        <v>84153</v>
      </c>
      <c r="H11" s="30">
        <v>42377</v>
      </c>
      <c r="I11" s="1">
        <v>2</v>
      </c>
      <c r="J11" t="s">
        <v>254</v>
      </c>
      <c r="K11">
        <v>0</v>
      </c>
      <c r="L11" t="s">
        <v>258</v>
      </c>
      <c r="M11">
        <v>76</v>
      </c>
    </row>
    <row r="12" spans="1:13">
      <c r="A12" s="31">
        <v>11</v>
      </c>
      <c r="B12" t="s">
        <v>263</v>
      </c>
      <c r="C12">
        <v>23</v>
      </c>
      <c r="D12" t="s">
        <v>232</v>
      </c>
      <c r="E12" t="s">
        <v>262</v>
      </c>
      <c r="F12" t="s">
        <v>253</v>
      </c>
      <c r="G12">
        <v>108547</v>
      </c>
      <c r="H12" s="30">
        <v>43248</v>
      </c>
      <c r="I12" s="1">
        <v>2</v>
      </c>
      <c r="J12" t="s">
        <v>241</v>
      </c>
      <c r="K12">
        <v>21</v>
      </c>
      <c r="L12" t="s">
        <v>258</v>
      </c>
      <c r="M12">
        <v>75</v>
      </c>
    </row>
    <row r="13" spans="1:13">
      <c r="A13" s="31">
        <v>12</v>
      </c>
      <c r="B13" t="s">
        <v>264</v>
      </c>
      <c r="C13">
        <v>53</v>
      </c>
      <c r="D13" t="s">
        <v>238</v>
      </c>
      <c r="E13" t="s">
        <v>248</v>
      </c>
      <c r="F13" t="s">
        <v>240</v>
      </c>
      <c r="G13">
        <v>93702</v>
      </c>
      <c r="H13" s="30">
        <v>40980</v>
      </c>
      <c r="I13" s="1">
        <v>4</v>
      </c>
      <c r="J13" t="s">
        <v>241</v>
      </c>
      <c r="K13">
        <v>10</v>
      </c>
      <c r="L13" t="s">
        <v>242</v>
      </c>
      <c r="M13">
        <v>62</v>
      </c>
    </row>
    <row r="14" spans="1:13">
      <c r="A14" s="31">
        <v>13</v>
      </c>
      <c r="B14" t="s">
        <v>265</v>
      </c>
      <c r="C14">
        <v>48</v>
      </c>
      <c r="D14" t="s">
        <v>238</v>
      </c>
      <c r="E14" t="s">
        <v>244</v>
      </c>
      <c r="F14" t="s">
        <v>234</v>
      </c>
      <c r="G14">
        <v>79937</v>
      </c>
      <c r="H14" s="30">
        <v>43982</v>
      </c>
      <c r="I14" s="1">
        <v>3</v>
      </c>
      <c r="J14" t="s">
        <v>241</v>
      </c>
      <c r="K14">
        <v>13</v>
      </c>
      <c r="L14" t="s">
        <v>246</v>
      </c>
      <c r="M14">
        <v>100</v>
      </c>
    </row>
    <row r="15" spans="1:13">
      <c r="A15" s="31">
        <v>14</v>
      </c>
      <c r="B15" t="s">
        <v>266</v>
      </c>
      <c r="C15">
        <v>23</v>
      </c>
      <c r="D15" t="s">
        <v>238</v>
      </c>
      <c r="E15" t="s">
        <v>262</v>
      </c>
      <c r="F15" t="s">
        <v>253</v>
      </c>
      <c r="G15">
        <v>115597</v>
      </c>
      <c r="H15" s="30">
        <v>42741</v>
      </c>
      <c r="I15" s="1">
        <v>4</v>
      </c>
      <c r="J15" t="s">
        <v>241</v>
      </c>
      <c r="K15">
        <v>40</v>
      </c>
      <c r="L15" t="s">
        <v>246</v>
      </c>
      <c r="M15">
        <v>81</v>
      </c>
    </row>
    <row r="16" spans="1:13">
      <c r="A16" s="31">
        <v>15</v>
      </c>
      <c r="B16" t="s">
        <v>267</v>
      </c>
      <c r="C16">
        <v>52</v>
      </c>
      <c r="D16" t="s">
        <v>232</v>
      </c>
      <c r="E16" t="s">
        <v>239</v>
      </c>
      <c r="F16" t="s">
        <v>253</v>
      </c>
      <c r="G16">
        <v>64735</v>
      </c>
      <c r="H16" s="30">
        <v>43196</v>
      </c>
      <c r="I16" s="1">
        <v>2</v>
      </c>
      <c r="J16" t="s">
        <v>250</v>
      </c>
      <c r="K16">
        <v>7</v>
      </c>
      <c r="L16" t="s">
        <v>246</v>
      </c>
      <c r="M16">
        <v>72</v>
      </c>
    </row>
    <row r="17" spans="1:13">
      <c r="A17" s="31">
        <v>16</v>
      </c>
      <c r="B17" t="s">
        <v>268</v>
      </c>
      <c r="C17">
        <v>58</v>
      </c>
      <c r="D17" t="s">
        <v>238</v>
      </c>
      <c r="E17" t="s">
        <v>262</v>
      </c>
      <c r="F17" t="s">
        <v>240</v>
      </c>
      <c r="G17">
        <v>79262</v>
      </c>
      <c r="H17" s="30">
        <v>43085</v>
      </c>
      <c r="I17" s="1">
        <v>4</v>
      </c>
      <c r="J17" t="s">
        <v>241</v>
      </c>
      <c r="K17">
        <v>39</v>
      </c>
      <c r="L17" t="s">
        <v>251</v>
      </c>
      <c r="M17">
        <v>64</v>
      </c>
    </row>
    <row r="18" spans="1:13">
      <c r="A18" s="31">
        <v>17</v>
      </c>
      <c r="B18" t="s">
        <v>269</v>
      </c>
      <c r="C18">
        <v>47</v>
      </c>
      <c r="D18" t="s">
        <v>232</v>
      </c>
      <c r="E18" t="s">
        <v>244</v>
      </c>
      <c r="F18" t="s">
        <v>240</v>
      </c>
      <c r="G18">
        <v>62477</v>
      </c>
      <c r="H18" s="30">
        <v>42428</v>
      </c>
      <c r="I18" s="1">
        <v>2</v>
      </c>
      <c r="J18" t="s">
        <v>241</v>
      </c>
      <c r="K18">
        <v>36</v>
      </c>
      <c r="L18" t="s">
        <v>251</v>
      </c>
      <c r="M18">
        <v>65</v>
      </c>
    </row>
    <row r="19" spans="1:13">
      <c r="A19" s="31">
        <v>18</v>
      </c>
      <c r="B19" t="s">
        <v>270</v>
      </c>
      <c r="C19">
        <v>37</v>
      </c>
      <c r="D19" t="s">
        <v>232</v>
      </c>
      <c r="E19" t="s">
        <v>248</v>
      </c>
      <c r="F19" t="s">
        <v>249</v>
      </c>
      <c r="G19">
        <v>100543</v>
      </c>
      <c r="H19" s="30">
        <v>40799</v>
      </c>
      <c r="I19" s="1">
        <v>1</v>
      </c>
      <c r="J19" t="s">
        <v>241</v>
      </c>
      <c r="K19">
        <v>30</v>
      </c>
      <c r="L19" t="s">
        <v>246</v>
      </c>
      <c r="M19">
        <v>69</v>
      </c>
    </row>
    <row r="20" spans="1:13">
      <c r="A20" s="31">
        <v>19</v>
      </c>
      <c r="B20" t="s">
        <v>271</v>
      </c>
      <c r="C20">
        <v>32</v>
      </c>
      <c r="D20" t="s">
        <v>232</v>
      </c>
      <c r="E20" t="s">
        <v>233</v>
      </c>
      <c r="F20" t="s">
        <v>257</v>
      </c>
      <c r="G20">
        <v>42509</v>
      </c>
      <c r="H20" s="30">
        <v>41227</v>
      </c>
      <c r="I20" s="1">
        <v>3</v>
      </c>
      <c r="J20" t="s">
        <v>241</v>
      </c>
      <c r="K20">
        <v>18</v>
      </c>
      <c r="L20" t="s">
        <v>251</v>
      </c>
      <c r="M20">
        <v>65</v>
      </c>
    </row>
    <row r="21" spans="1:13">
      <c r="A21" s="31">
        <v>20</v>
      </c>
      <c r="B21" t="s">
        <v>272</v>
      </c>
      <c r="C21">
        <v>44</v>
      </c>
      <c r="D21" t="s">
        <v>232</v>
      </c>
      <c r="E21" t="s">
        <v>248</v>
      </c>
      <c r="F21" t="s">
        <v>257</v>
      </c>
      <c r="G21">
        <v>47619</v>
      </c>
      <c r="H21" s="30">
        <v>43713</v>
      </c>
      <c r="I21" s="1">
        <v>1</v>
      </c>
      <c r="J21" t="s">
        <v>250</v>
      </c>
      <c r="K21">
        <v>18</v>
      </c>
      <c r="L21" t="s">
        <v>246</v>
      </c>
      <c r="M21">
        <v>76</v>
      </c>
    </row>
    <row r="22" spans="1:13">
      <c r="A22" s="31">
        <v>21</v>
      </c>
      <c r="B22" t="s">
        <v>273</v>
      </c>
      <c r="C22">
        <v>55</v>
      </c>
      <c r="D22" t="s">
        <v>232</v>
      </c>
      <c r="E22" t="s">
        <v>239</v>
      </c>
      <c r="F22" t="s">
        <v>257</v>
      </c>
      <c r="G22">
        <v>47854</v>
      </c>
      <c r="H22" s="30">
        <v>43227</v>
      </c>
      <c r="I22" s="1">
        <v>2</v>
      </c>
      <c r="J22" t="s">
        <v>250</v>
      </c>
      <c r="K22">
        <v>0</v>
      </c>
      <c r="L22" t="s">
        <v>242</v>
      </c>
      <c r="M22">
        <v>71</v>
      </c>
    </row>
    <row r="23" spans="1:13">
      <c r="A23" s="31">
        <v>22</v>
      </c>
      <c r="B23" t="s">
        <v>274</v>
      </c>
      <c r="C23">
        <v>40</v>
      </c>
      <c r="D23" t="s">
        <v>238</v>
      </c>
      <c r="E23" t="s">
        <v>233</v>
      </c>
      <c r="F23" t="s">
        <v>249</v>
      </c>
      <c r="G23">
        <v>65546</v>
      </c>
      <c r="H23" s="30">
        <v>41276</v>
      </c>
      <c r="I23" s="1">
        <v>2</v>
      </c>
      <c r="J23" t="s">
        <v>245</v>
      </c>
      <c r="K23">
        <v>26</v>
      </c>
      <c r="L23" t="s">
        <v>246</v>
      </c>
      <c r="M23">
        <v>69</v>
      </c>
    </row>
    <row r="24" spans="1:13">
      <c r="A24" s="31">
        <v>23</v>
      </c>
      <c r="B24" t="s">
        <v>275</v>
      </c>
      <c r="C24">
        <v>27</v>
      </c>
      <c r="D24" t="s">
        <v>232</v>
      </c>
      <c r="E24" t="s">
        <v>244</v>
      </c>
      <c r="F24" t="s">
        <v>253</v>
      </c>
      <c r="G24">
        <v>95951</v>
      </c>
      <c r="H24" s="30">
        <v>44072</v>
      </c>
      <c r="I24" s="1">
        <v>5</v>
      </c>
      <c r="J24" t="s">
        <v>245</v>
      </c>
      <c r="K24">
        <v>14</v>
      </c>
      <c r="L24" t="s">
        <v>251</v>
      </c>
      <c r="M24">
        <v>75</v>
      </c>
    </row>
    <row r="25" spans="1:13">
      <c r="A25" s="31">
        <v>24</v>
      </c>
      <c r="B25" t="s">
        <v>276</v>
      </c>
      <c r="C25">
        <v>53</v>
      </c>
      <c r="D25" t="s">
        <v>232</v>
      </c>
      <c r="E25" t="s">
        <v>248</v>
      </c>
      <c r="F25" t="s">
        <v>249</v>
      </c>
      <c r="G25">
        <v>91981</v>
      </c>
      <c r="H25" s="30">
        <v>40677</v>
      </c>
      <c r="I25" s="1">
        <v>5</v>
      </c>
      <c r="J25" t="s">
        <v>241</v>
      </c>
      <c r="K25">
        <v>5</v>
      </c>
      <c r="L25" t="s">
        <v>258</v>
      </c>
      <c r="M25">
        <v>86</v>
      </c>
    </row>
    <row r="26" spans="1:13">
      <c r="A26" s="31">
        <v>25</v>
      </c>
      <c r="B26" t="s">
        <v>277</v>
      </c>
      <c r="C26">
        <v>40</v>
      </c>
      <c r="D26" t="s">
        <v>232</v>
      </c>
      <c r="E26" t="s">
        <v>233</v>
      </c>
      <c r="F26" t="s">
        <v>253</v>
      </c>
      <c r="G26">
        <v>104651</v>
      </c>
      <c r="H26" s="30">
        <v>43373</v>
      </c>
      <c r="I26" s="1">
        <v>1</v>
      </c>
      <c r="J26" t="s">
        <v>241</v>
      </c>
      <c r="K26">
        <v>7</v>
      </c>
      <c r="L26" t="s">
        <v>242</v>
      </c>
      <c r="M26">
        <v>74</v>
      </c>
    </row>
    <row r="27" spans="1:13">
      <c r="A27" s="31">
        <v>26</v>
      </c>
      <c r="B27" t="s">
        <v>278</v>
      </c>
      <c r="C27">
        <v>29</v>
      </c>
      <c r="D27" t="s">
        <v>238</v>
      </c>
      <c r="E27" t="s">
        <v>248</v>
      </c>
      <c r="F27" t="s">
        <v>234</v>
      </c>
      <c r="G27">
        <v>70646</v>
      </c>
      <c r="H27" s="30">
        <v>44112</v>
      </c>
      <c r="I27" s="1">
        <v>3</v>
      </c>
      <c r="J27" t="s">
        <v>250</v>
      </c>
      <c r="K27">
        <v>25</v>
      </c>
      <c r="L27" t="s">
        <v>246</v>
      </c>
      <c r="M27">
        <v>84</v>
      </c>
    </row>
    <row r="28" spans="1:13">
      <c r="A28" s="31">
        <v>27</v>
      </c>
      <c r="B28" t="s">
        <v>279</v>
      </c>
      <c r="C28">
        <v>60</v>
      </c>
      <c r="D28" t="s">
        <v>238</v>
      </c>
      <c r="E28" t="s">
        <v>248</v>
      </c>
      <c r="F28" t="s">
        <v>240</v>
      </c>
      <c r="G28">
        <v>89474</v>
      </c>
      <c r="H28" s="30">
        <v>42024</v>
      </c>
      <c r="I28" s="1">
        <v>3</v>
      </c>
      <c r="J28" t="s">
        <v>250</v>
      </c>
      <c r="K28">
        <v>0</v>
      </c>
      <c r="L28" t="s">
        <v>242</v>
      </c>
      <c r="M28">
        <v>74</v>
      </c>
    </row>
    <row r="29" spans="1:13">
      <c r="A29" s="31">
        <v>28</v>
      </c>
      <c r="B29" t="s">
        <v>280</v>
      </c>
      <c r="C29">
        <v>36</v>
      </c>
      <c r="D29" t="s">
        <v>232</v>
      </c>
      <c r="E29" t="s">
        <v>248</v>
      </c>
      <c r="F29" t="s">
        <v>257</v>
      </c>
      <c r="G29">
        <v>91446</v>
      </c>
      <c r="H29" s="30">
        <v>41304</v>
      </c>
      <c r="I29" s="1">
        <v>4</v>
      </c>
      <c r="J29" t="s">
        <v>250</v>
      </c>
      <c r="K29">
        <v>13</v>
      </c>
      <c r="L29" t="s">
        <v>246</v>
      </c>
      <c r="M29">
        <v>84</v>
      </c>
    </row>
    <row r="30" spans="1:13">
      <c r="A30" s="31">
        <v>29</v>
      </c>
      <c r="B30" t="s">
        <v>281</v>
      </c>
      <c r="C30">
        <v>59</v>
      </c>
      <c r="D30" t="s">
        <v>238</v>
      </c>
      <c r="E30" t="s">
        <v>233</v>
      </c>
      <c r="F30" t="s">
        <v>249</v>
      </c>
      <c r="G30">
        <v>69001</v>
      </c>
      <c r="H30" s="30">
        <v>42614</v>
      </c>
      <c r="I30" s="1">
        <v>1</v>
      </c>
      <c r="J30" t="s">
        <v>245</v>
      </c>
      <c r="K30">
        <v>17</v>
      </c>
      <c r="L30" t="s">
        <v>251</v>
      </c>
      <c r="M30">
        <v>66</v>
      </c>
    </row>
    <row r="31" spans="1:13">
      <c r="A31" s="31">
        <v>30</v>
      </c>
      <c r="B31" t="s">
        <v>282</v>
      </c>
      <c r="C31">
        <v>58</v>
      </c>
      <c r="D31" t="s">
        <v>232</v>
      </c>
      <c r="E31" t="s">
        <v>239</v>
      </c>
      <c r="F31" t="s">
        <v>253</v>
      </c>
      <c r="G31">
        <v>111981</v>
      </c>
      <c r="H31" s="30">
        <v>42693</v>
      </c>
      <c r="I31" s="1">
        <v>5</v>
      </c>
      <c r="J31" t="s">
        <v>235</v>
      </c>
      <c r="K31">
        <v>21</v>
      </c>
      <c r="L31" t="s">
        <v>258</v>
      </c>
      <c r="M31">
        <v>97</v>
      </c>
    </row>
    <row r="32" spans="1:13">
      <c r="A32" s="31">
        <v>31</v>
      </c>
      <c r="B32" t="s">
        <v>283</v>
      </c>
      <c r="C32">
        <v>54</v>
      </c>
      <c r="D32" t="s">
        <v>232</v>
      </c>
      <c r="E32" t="s">
        <v>262</v>
      </c>
      <c r="F32" t="s">
        <v>257</v>
      </c>
      <c r="G32">
        <v>59597</v>
      </c>
      <c r="H32" s="30">
        <v>43911</v>
      </c>
      <c r="I32" s="1">
        <v>2</v>
      </c>
      <c r="J32" t="s">
        <v>241</v>
      </c>
      <c r="K32">
        <v>26</v>
      </c>
      <c r="L32" t="s">
        <v>258</v>
      </c>
      <c r="M32">
        <v>97</v>
      </c>
    </row>
    <row r="33" spans="1:13">
      <c r="A33" s="31">
        <v>32</v>
      </c>
      <c r="B33" t="s">
        <v>284</v>
      </c>
      <c r="C33">
        <v>32</v>
      </c>
      <c r="D33" t="s">
        <v>238</v>
      </c>
      <c r="E33" t="s">
        <v>244</v>
      </c>
      <c r="F33" t="s">
        <v>257</v>
      </c>
      <c r="G33">
        <v>68871</v>
      </c>
      <c r="H33" s="30">
        <v>41236</v>
      </c>
      <c r="I33" s="1">
        <v>4</v>
      </c>
      <c r="J33" t="s">
        <v>254</v>
      </c>
      <c r="K33">
        <v>9</v>
      </c>
      <c r="L33" t="s">
        <v>258</v>
      </c>
      <c r="M33">
        <v>62</v>
      </c>
    </row>
    <row r="34" spans="1:13">
      <c r="A34" s="31">
        <v>33</v>
      </c>
      <c r="B34" t="s">
        <v>278</v>
      </c>
      <c r="C34">
        <v>33</v>
      </c>
      <c r="D34" t="s">
        <v>238</v>
      </c>
      <c r="E34" t="s">
        <v>233</v>
      </c>
      <c r="F34" t="s">
        <v>234</v>
      </c>
      <c r="G34">
        <v>108753</v>
      </c>
      <c r="H34" s="30">
        <v>40996</v>
      </c>
      <c r="I34" s="1">
        <v>2</v>
      </c>
      <c r="J34" t="s">
        <v>235</v>
      </c>
      <c r="K34">
        <v>9</v>
      </c>
      <c r="L34" t="s">
        <v>251</v>
      </c>
      <c r="M34">
        <v>78</v>
      </c>
    </row>
    <row r="35" spans="1:13">
      <c r="A35" s="31">
        <v>34</v>
      </c>
      <c r="B35" t="s">
        <v>285</v>
      </c>
      <c r="C35">
        <v>54</v>
      </c>
      <c r="D35" t="s">
        <v>238</v>
      </c>
      <c r="E35" t="s">
        <v>262</v>
      </c>
      <c r="F35" t="s">
        <v>234</v>
      </c>
      <c r="G35">
        <v>76009</v>
      </c>
      <c r="H35" s="30">
        <v>42299</v>
      </c>
      <c r="I35" s="1">
        <v>5</v>
      </c>
      <c r="J35" t="s">
        <v>245</v>
      </c>
      <c r="K35">
        <v>37</v>
      </c>
      <c r="L35" t="s">
        <v>236</v>
      </c>
      <c r="M35">
        <v>86</v>
      </c>
    </row>
    <row r="36" spans="1:13">
      <c r="A36" s="31">
        <v>35</v>
      </c>
      <c r="B36" t="s">
        <v>263</v>
      </c>
      <c r="C36">
        <v>25</v>
      </c>
      <c r="D36" t="s">
        <v>232</v>
      </c>
      <c r="E36" t="s">
        <v>244</v>
      </c>
      <c r="F36" t="s">
        <v>257</v>
      </c>
      <c r="G36">
        <v>100152</v>
      </c>
      <c r="H36" s="30">
        <v>42363</v>
      </c>
      <c r="I36" s="1">
        <v>4</v>
      </c>
      <c r="J36" t="s">
        <v>235</v>
      </c>
      <c r="K36">
        <v>10</v>
      </c>
      <c r="L36" t="s">
        <v>246</v>
      </c>
      <c r="M36">
        <v>83</v>
      </c>
    </row>
    <row r="37" spans="1:13">
      <c r="A37" s="31">
        <v>36</v>
      </c>
      <c r="B37" t="s">
        <v>286</v>
      </c>
      <c r="C37">
        <v>48</v>
      </c>
      <c r="D37" t="s">
        <v>238</v>
      </c>
      <c r="E37" t="s">
        <v>248</v>
      </c>
      <c r="F37" t="s">
        <v>240</v>
      </c>
      <c r="G37">
        <v>67759</v>
      </c>
      <c r="H37" s="30">
        <v>43269</v>
      </c>
      <c r="I37" s="1">
        <v>3</v>
      </c>
      <c r="J37" t="s">
        <v>254</v>
      </c>
      <c r="K37">
        <v>23</v>
      </c>
      <c r="L37" t="s">
        <v>258</v>
      </c>
      <c r="M37">
        <v>67</v>
      </c>
    </row>
    <row r="38" spans="1:13">
      <c r="A38" s="31">
        <v>37</v>
      </c>
      <c r="B38" t="s">
        <v>287</v>
      </c>
      <c r="C38">
        <v>58</v>
      </c>
      <c r="D38" t="s">
        <v>238</v>
      </c>
      <c r="E38" t="s">
        <v>239</v>
      </c>
      <c r="F38" t="s">
        <v>240</v>
      </c>
      <c r="G38">
        <v>56342</v>
      </c>
      <c r="H38" s="30">
        <v>40959</v>
      </c>
      <c r="I38" s="1">
        <v>4</v>
      </c>
      <c r="J38" t="s">
        <v>250</v>
      </c>
      <c r="K38">
        <v>1</v>
      </c>
      <c r="L38" t="s">
        <v>242</v>
      </c>
      <c r="M38">
        <v>88</v>
      </c>
    </row>
    <row r="39" spans="1:13">
      <c r="A39" s="31">
        <v>38</v>
      </c>
      <c r="B39" t="s">
        <v>269</v>
      </c>
      <c r="C39">
        <v>47</v>
      </c>
      <c r="D39" t="s">
        <v>232</v>
      </c>
      <c r="E39" t="s">
        <v>244</v>
      </c>
      <c r="F39" t="s">
        <v>257</v>
      </c>
      <c r="G39">
        <v>105248</v>
      </c>
      <c r="H39" s="30">
        <v>41030</v>
      </c>
      <c r="I39" s="1">
        <v>1</v>
      </c>
      <c r="J39" t="s">
        <v>241</v>
      </c>
      <c r="K39">
        <v>19</v>
      </c>
      <c r="L39" t="s">
        <v>246</v>
      </c>
      <c r="M39">
        <v>84</v>
      </c>
    </row>
    <row r="40" spans="1:13">
      <c r="A40" s="31">
        <v>39</v>
      </c>
      <c r="B40" t="s">
        <v>288</v>
      </c>
      <c r="C40">
        <v>37</v>
      </c>
      <c r="D40" t="s">
        <v>238</v>
      </c>
      <c r="E40" t="s">
        <v>244</v>
      </c>
      <c r="F40" t="s">
        <v>257</v>
      </c>
      <c r="G40">
        <v>64814</v>
      </c>
      <c r="H40" s="30">
        <v>43004</v>
      </c>
      <c r="I40" s="1">
        <v>4</v>
      </c>
      <c r="J40" t="s">
        <v>250</v>
      </c>
      <c r="K40">
        <v>1</v>
      </c>
      <c r="L40" t="s">
        <v>236</v>
      </c>
      <c r="M40">
        <v>76</v>
      </c>
    </row>
    <row r="41" spans="1:13">
      <c r="A41" s="31">
        <v>40</v>
      </c>
      <c r="B41" t="s">
        <v>289</v>
      </c>
      <c r="C41">
        <v>27</v>
      </c>
      <c r="D41" t="s">
        <v>238</v>
      </c>
      <c r="E41" t="s">
        <v>248</v>
      </c>
      <c r="F41" t="s">
        <v>240</v>
      </c>
      <c r="G41">
        <v>60787</v>
      </c>
      <c r="H41" s="30">
        <v>43372</v>
      </c>
      <c r="I41" s="1">
        <v>3</v>
      </c>
      <c r="J41" t="s">
        <v>250</v>
      </c>
      <c r="K41">
        <v>2</v>
      </c>
      <c r="L41" t="s">
        <v>251</v>
      </c>
      <c r="M41">
        <v>97</v>
      </c>
    </row>
    <row r="42" spans="1:13">
      <c r="A42" s="31">
        <v>41</v>
      </c>
      <c r="B42" t="s">
        <v>290</v>
      </c>
      <c r="C42">
        <v>43</v>
      </c>
      <c r="D42" t="s">
        <v>238</v>
      </c>
      <c r="E42" t="s">
        <v>262</v>
      </c>
      <c r="F42" t="s">
        <v>257</v>
      </c>
      <c r="G42">
        <v>60699</v>
      </c>
      <c r="H42" s="30">
        <v>41688</v>
      </c>
      <c r="I42" s="1">
        <v>4</v>
      </c>
      <c r="J42" t="s">
        <v>241</v>
      </c>
      <c r="K42">
        <v>11</v>
      </c>
      <c r="L42" t="s">
        <v>251</v>
      </c>
      <c r="M42">
        <v>84</v>
      </c>
    </row>
    <row r="43" spans="1:13">
      <c r="A43" s="31">
        <v>42</v>
      </c>
      <c r="B43" t="s">
        <v>272</v>
      </c>
      <c r="C43">
        <v>60</v>
      </c>
      <c r="D43" t="s">
        <v>232</v>
      </c>
      <c r="E43" t="s">
        <v>239</v>
      </c>
      <c r="F43" t="s">
        <v>240</v>
      </c>
      <c r="G43">
        <v>101605</v>
      </c>
      <c r="H43" s="30">
        <v>42603</v>
      </c>
      <c r="I43" s="1">
        <v>1</v>
      </c>
      <c r="J43" t="s">
        <v>254</v>
      </c>
      <c r="K43">
        <v>37</v>
      </c>
      <c r="L43" t="s">
        <v>242</v>
      </c>
      <c r="M43">
        <v>74</v>
      </c>
    </row>
    <row r="44" spans="1:13">
      <c r="A44" s="31">
        <v>43</v>
      </c>
      <c r="B44" t="s">
        <v>291</v>
      </c>
      <c r="C44">
        <v>42</v>
      </c>
      <c r="D44" t="s">
        <v>232</v>
      </c>
      <c r="E44" t="s">
        <v>233</v>
      </c>
      <c r="F44" t="s">
        <v>257</v>
      </c>
      <c r="G44">
        <v>41200</v>
      </c>
      <c r="H44" s="30">
        <v>42296</v>
      </c>
      <c r="I44" s="1">
        <v>2</v>
      </c>
      <c r="J44" t="s">
        <v>241</v>
      </c>
      <c r="K44">
        <v>26</v>
      </c>
      <c r="L44" t="s">
        <v>236</v>
      </c>
      <c r="M44">
        <v>65</v>
      </c>
    </row>
    <row r="45" spans="1:13">
      <c r="A45" s="31">
        <v>44</v>
      </c>
      <c r="B45" t="s">
        <v>283</v>
      </c>
      <c r="C45">
        <v>52</v>
      </c>
      <c r="D45" t="s">
        <v>232</v>
      </c>
      <c r="E45" t="s">
        <v>248</v>
      </c>
      <c r="F45" t="s">
        <v>257</v>
      </c>
      <c r="G45">
        <v>51908</v>
      </c>
      <c r="H45" s="30">
        <v>42101</v>
      </c>
      <c r="I45" s="1">
        <v>2</v>
      </c>
      <c r="J45" t="s">
        <v>254</v>
      </c>
      <c r="K45">
        <v>9</v>
      </c>
      <c r="L45" t="s">
        <v>242</v>
      </c>
      <c r="M45">
        <v>81</v>
      </c>
    </row>
    <row r="46" spans="1:13">
      <c r="A46" s="31">
        <v>45</v>
      </c>
      <c r="B46" t="s">
        <v>292</v>
      </c>
      <c r="C46">
        <v>56</v>
      </c>
      <c r="D46" t="s">
        <v>238</v>
      </c>
      <c r="E46" t="s">
        <v>244</v>
      </c>
      <c r="F46" t="s">
        <v>253</v>
      </c>
      <c r="G46">
        <v>94976</v>
      </c>
      <c r="H46" s="30">
        <v>42911</v>
      </c>
      <c r="I46" s="1">
        <v>4</v>
      </c>
      <c r="J46" t="s">
        <v>254</v>
      </c>
      <c r="K46">
        <v>20</v>
      </c>
      <c r="L46" t="s">
        <v>236</v>
      </c>
      <c r="M46">
        <v>100</v>
      </c>
    </row>
    <row r="47" spans="1:13">
      <c r="A47" s="31">
        <v>46</v>
      </c>
      <c r="B47" t="s">
        <v>293</v>
      </c>
      <c r="C47">
        <v>52</v>
      </c>
      <c r="D47" t="s">
        <v>232</v>
      </c>
      <c r="E47" t="s">
        <v>233</v>
      </c>
      <c r="F47" t="s">
        <v>234</v>
      </c>
      <c r="G47">
        <v>92328</v>
      </c>
      <c r="H47" s="30">
        <v>43226</v>
      </c>
      <c r="I47" s="1">
        <v>3</v>
      </c>
      <c r="J47" t="s">
        <v>245</v>
      </c>
      <c r="K47">
        <v>24</v>
      </c>
      <c r="L47" t="s">
        <v>258</v>
      </c>
      <c r="M47">
        <v>93</v>
      </c>
    </row>
    <row r="48" spans="1:13">
      <c r="A48" s="31">
        <v>47</v>
      </c>
      <c r="B48" t="s">
        <v>294</v>
      </c>
      <c r="C48">
        <v>31</v>
      </c>
      <c r="D48" t="s">
        <v>238</v>
      </c>
      <c r="E48" t="s">
        <v>244</v>
      </c>
      <c r="F48" t="s">
        <v>234</v>
      </c>
      <c r="G48">
        <v>114555</v>
      </c>
      <c r="H48" s="30">
        <v>40953</v>
      </c>
      <c r="I48" s="1">
        <v>2</v>
      </c>
      <c r="J48" t="s">
        <v>245</v>
      </c>
      <c r="K48">
        <v>31</v>
      </c>
      <c r="L48" t="s">
        <v>242</v>
      </c>
      <c r="M48">
        <v>89</v>
      </c>
    </row>
    <row r="49" spans="1:13">
      <c r="A49" s="31">
        <v>48</v>
      </c>
      <c r="B49" t="s">
        <v>272</v>
      </c>
      <c r="C49">
        <v>39</v>
      </c>
      <c r="D49" t="s">
        <v>232</v>
      </c>
      <c r="E49" t="s">
        <v>244</v>
      </c>
      <c r="F49" t="s">
        <v>240</v>
      </c>
      <c r="G49">
        <v>55167</v>
      </c>
      <c r="H49" s="30">
        <v>43778</v>
      </c>
      <c r="I49" s="1">
        <v>4</v>
      </c>
      <c r="J49" t="s">
        <v>241</v>
      </c>
      <c r="K49">
        <v>27</v>
      </c>
      <c r="L49" t="s">
        <v>236</v>
      </c>
      <c r="M49">
        <v>91</v>
      </c>
    </row>
    <row r="50" spans="1:13">
      <c r="A50" s="31">
        <v>49</v>
      </c>
      <c r="B50" t="s">
        <v>292</v>
      </c>
      <c r="C50">
        <v>48</v>
      </c>
      <c r="D50" t="s">
        <v>238</v>
      </c>
      <c r="E50" t="s">
        <v>233</v>
      </c>
      <c r="F50" t="s">
        <v>234</v>
      </c>
      <c r="G50">
        <v>108838</v>
      </c>
      <c r="H50" s="30">
        <v>40769</v>
      </c>
      <c r="I50" s="1">
        <v>3</v>
      </c>
      <c r="J50" t="s">
        <v>250</v>
      </c>
      <c r="K50">
        <v>1</v>
      </c>
      <c r="L50" t="s">
        <v>251</v>
      </c>
      <c r="M50">
        <v>82</v>
      </c>
    </row>
    <row r="51" spans="1:13">
      <c r="A51" s="31">
        <v>50</v>
      </c>
      <c r="B51" t="s">
        <v>295</v>
      </c>
      <c r="C51">
        <v>40</v>
      </c>
      <c r="D51" t="s">
        <v>232</v>
      </c>
      <c r="E51" t="s">
        <v>262</v>
      </c>
      <c r="F51" t="s">
        <v>234</v>
      </c>
      <c r="G51">
        <v>62550</v>
      </c>
      <c r="H51" s="30">
        <v>42908</v>
      </c>
      <c r="I51" s="1">
        <v>3</v>
      </c>
      <c r="J51" t="s">
        <v>250</v>
      </c>
      <c r="K51">
        <v>1</v>
      </c>
      <c r="L51" t="s">
        <v>251</v>
      </c>
      <c r="M51">
        <v>100</v>
      </c>
    </row>
    <row r="52" spans="1:13">
      <c r="A52" s="31">
        <v>51</v>
      </c>
      <c r="B52" t="s">
        <v>284</v>
      </c>
      <c r="C52">
        <v>45</v>
      </c>
      <c r="D52" t="s">
        <v>238</v>
      </c>
      <c r="E52" t="s">
        <v>233</v>
      </c>
      <c r="F52" t="s">
        <v>257</v>
      </c>
      <c r="G52">
        <v>100294</v>
      </c>
      <c r="H52" s="30">
        <v>43898</v>
      </c>
      <c r="I52" s="1">
        <v>5</v>
      </c>
      <c r="J52" t="s">
        <v>250</v>
      </c>
      <c r="K52">
        <v>11</v>
      </c>
      <c r="L52" t="s">
        <v>258</v>
      </c>
      <c r="M52">
        <v>94</v>
      </c>
    </row>
    <row r="53" spans="1:13">
      <c r="A53" s="31">
        <v>52</v>
      </c>
      <c r="B53" t="s">
        <v>296</v>
      </c>
      <c r="C53">
        <v>35</v>
      </c>
      <c r="D53" t="s">
        <v>232</v>
      </c>
      <c r="E53" t="s">
        <v>239</v>
      </c>
      <c r="F53" t="s">
        <v>253</v>
      </c>
      <c r="G53">
        <v>69606</v>
      </c>
      <c r="H53" s="30">
        <v>43760</v>
      </c>
      <c r="I53" s="1">
        <v>4</v>
      </c>
      <c r="J53" t="s">
        <v>235</v>
      </c>
      <c r="K53">
        <v>24</v>
      </c>
      <c r="L53" t="s">
        <v>246</v>
      </c>
      <c r="M53">
        <v>67</v>
      </c>
    </row>
    <row r="54" spans="1:13">
      <c r="A54" s="31">
        <v>53</v>
      </c>
      <c r="B54" t="s">
        <v>297</v>
      </c>
      <c r="C54">
        <v>23</v>
      </c>
      <c r="D54" t="s">
        <v>238</v>
      </c>
      <c r="E54" t="s">
        <v>248</v>
      </c>
      <c r="F54" t="s">
        <v>234</v>
      </c>
      <c r="G54">
        <v>113099</v>
      </c>
      <c r="H54" s="30">
        <v>41790</v>
      </c>
      <c r="I54" s="1">
        <v>3</v>
      </c>
      <c r="J54" t="s">
        <v>254</v>
      </c>
      <c r="K54">
        <v>10</v>
      </c>
      <c r="L54" t="s">
        <v>236</v>
      </c>
      <c r="M54">
        <v>61</v>
      </c>
    </row>
    <row r="55" spans="1:13">
      <c r="A55" s="31">
        <v>54</v>
      </c>
      <c r="B55" t="s">
        <v>298</v>
      </c>
      <c r="C55">
        <v>58</v>
      </c>
      <c r="D55" t="s">
        <v>232</v>
      </c>
      <c r="E55" t="s">
        <v>233</v>
      </c>
      <c r="F55" t="s">
        <v>249</v>
      </c>
      <c r="G55">
        <v>106651</v>
      </c>
      <c r="H55" s="30">
        <v>42738</v>
      </c>
      <c r="I55" s="1">
        <v>2</v>
      </c>
      <c r="J55" t="s">
        <v>241</v>
      </c>
      <c r="K55">
        <v>12</v>
      </c>
      <c r="L55" t="s">
        <v>246</v>
      </c>
      <c r="M55">
        <v>67</v>
      </c>
    </row>
    <row r="56" spans="1:13">
      <c r="A56" s="31">
        <v>55</v>
      </c>
      <c r="B56" t="s">
        <v>299</v>
      </c>
      <c r="C56">
        <v>22</v>
      </c>
      <c r="D56" t="s">
        <v>232</v>
      </c>
      <c r="E56" t="s">
        <v>239</v>
      </c>
      <c r="F56" t="s">
        <v>253</v>
      </c>
      <c r="G56">
        <v>107742</v>
      </c>
      <c r="H56" s="30">
        <v>40301</v>
      </c>
      <c r="I56" s="1">
        <v>1</v>
      </c>
      <c r="J56" t="s">
        <v>250</v>
      </c>
      <c r="K56">
        <v>1</v>
      </c>
      <c r="L56" t="s">
        <v>246</v>
      </c>
      <c r="M56">
        <v>66</v>
      </c>
    </row>
    <row r="57" spans="1:13">
      <c r="A57" s="31">
        <v>56</v>
      </c>
      <c r="B57" t="s">
        <v>300</v>
      </c>
      <c r="C57">
        <v>42</v>
      </c>
      <c r="D57" t="s">
        <v>238</v>
      </c>
      <c r="E57" t="s">
        <v>262</v>
      </c>
      <c r="F57" t="s">
        <v>249</v>
      </c>
      <c r="G57">
        <v>107585</v>
      </c>
      <c r="H57" s="30">
        <v>41410</v>
      </c>
      <c r="I57" s="1">
        <v>2</v>
      </c>
      <c r="J57" t="s">
        <v>235</v>
      </c>
      <c r="K57">
        <v>18</v>
      </c>
      <c r="L57" t="s">
        <v>246</v>
      </c>
      <c r="M57">
        <v>87</v>
      </c>
    </row>
    <row r="58" spans="1:13">
      <c r="A58" s="31">
        <v>57</v>
      </c>
      <c r="B58" t="s">
        <v>301</v>
      </c>
      <c r="C58">
        <v>26</v>
      </c>
      <c r="D58" t="s">
        <v>232</v>
      </c>
      <c r="E58" t="s">
        <v>262</v>
      </c>
      <c r="F58" t="s">
        <v>257</v>
      </c>
      <c r="G58">
        <v>49190</v>
      </c>
      <c r="H58" s="30">
        <v>40935</v>
      </c>
      <c r="I58" s="1">
        <v>1</v>
      </c>
      <c r="J58" t="s">
        <v>235</v>
      </c>
      <c r="K58">
        <v>20</v>
      </c>
      <c r="L58" t="s">
        <v>242</v>
      </c>
      <c r="M58">
        <v>75</v>
      </c>
    </row>
    <row r="59" spans="1:13">
      <c r="A59" s="31">
        <v>58</v>
      </c>
      <c r="B59" t="s">
        <v>237</v>
      </c>
      <c r="C59">
        <v>36</v>
      </c>
      <c r="D59" t="s">
        <v>238</v>
      </c>
      <c r="E59" t="s">
        <v>233</v>
      </c>
      <c r="F59" t="s">
        <v>234</v>
      </c>
      <c r="G59">
        <v>101604</v>
      </c>
      <c r="H59" s="30">
        <v>41405</v>
      </c>
      <c r="I59" s="1">
        <v>4</v>
      </c>
      <c r="J59" t="s">
        <v>250</v>
      </c>
      <c r="K59">
        <v>14</v>
      </c>
      <c r="L59" t="s">
        <v>246</v>
      </c>
      <c r="M59">
        <v>99</v>
      </c>
    </row>
    <row r="60" spans="1:13">
      <c r="A60" s="31">
        <v>59</v>
      </c>
      <c r="B60" t="s">
        <v>302</v>
      </c>
      <c r="C60">
        <v>22</v>
      </c>
      <c r="D60" t="s">
        <v>238</v>
      </c>
      <c r="E60" t="s">
        <v>233</v>
      </c>
      <c r="F60" t="s">
        <v>257</v>
      </c>
      <c r="G60">
        <v>51094</v>
      </c>
      <c r="H60" s="30">
        <v>43976</v>
      </c>
      <c r="I60" s="1">
        <v>4</v>
      </c>
      <c r="J60" t="s">
        <v>241</v>
      </c>
      <c r="K60">
        <v>0</v>
      </c>
      <c r="L60" t="s">
        <v>258</v>
      </c>
      <c r="M60">
        <v>89</v>
      </c>
    </row>
    <row r="61" spans="1:13">
      <c r="A61" s="31">
        <v>60</v>
      </c>
      <c r="B61" t="s">
        <v>303</v>
      </c>
      <c r="C61">
        <v>47</v>
      </c>
      <c r="D61" t="s">
        <v>238</v>
      </c>
      <c r="E61" t="s">
        <v>244</v>
      </c>
      <c r="F61" t="s">
        <v>253</v>
      </c>
      <c r="G61">
        <v>91009</v>
      </c>
      <c r="H61" s="30">
        <v>42686</v>
      </c>
      <c r="I61" s="1">
        <v>3</v>
      </c>
      <c r="J61" t="s">
        <v>245</v>
      </c>
      <c r="K61">
        <v>20</v>
      </c>
      <c r="L61" t="s">
        <v>242</v>
      </c>
      <c r="M61">
        <v>92</v>
      </c>
    </row>
    <row r="62" spans="1:13">
      <c r="A62" s="31">
        <v>61</v>
      </c>
      <c r="B62" t="s">
        <v>304</v>
      </c>
      <c r="C62">
        <v>41</v>
      </c>
      <c r="D62" t="s">
        <v>238</v>
      </c>
      <c r="E62" t="s">
        <v>239</v>
      </c>
      <c r="F62" t="s">
        <v>240</v>
      </c>
      <c r="G62">
        <v>83091</v>
      </c>
      <c r="H62" s="30">
        <v>43631</v>
      </c>
      <c r="I62" s="1">
        <v>1</v>
      </c>
      <c r="J62" t="s">
        <v>235</v>
      </c>
      <c r="K62">
        <v>22</v>
      </c>
      <c r="L62" t="s">
        <v>246</v>
      </c>
      <c r="M62">
        <v>70</v>
      </c>
    </row>
    <row r="63" spans="1:13">
      <c r="A63" s="31">
        <v>62</v>
      </c>
      <c r="B63" t="s">
        <v>305</v>
      </c>
      <c r="C63">
        <v>59</v>
      </c>
      <c r="D63" t="s">
        <v>238</v>
      </c>
      <c r="E63" t="s">
        <v>239</v>
      </c>
      <c r="F63" t="s">
        <v>234</v>
      </c>
      <c r="G63">
        <v>114487</v>
      </c>
      <c r="H63" s="30">
        <v>42310</v>
      </c>
      <c r="I63" s="1">
        <v>4</v>
      </c>
      <c r="J63" t="s">
        <v>241</v>
      </c>
      <c r="K63">
        <v>2</v>
      </c>
      <c r="L63" t="s">
        <v>246</v>
      </c>
      <c r="M63">
        <v>97</v>
      </c>
    </row>
    <row r="64" spans="1:13">
      <c r="A64" s="31">
        <v>63</v>
      </c>
      <c r="B64" t="s">
        <v>306</v>
      </c>
      <c r="C64">
        <v>53</v>
      </c>
      <c r="D64" t="s">
        <v>232</v>
      </c>
      <c r="E64" t="s">
        <v>239</v>
      </c>
      <c r="F64" t="s">
        <v>253</v>
      </c>
      <c r="G64">
        <v>56544</v>
      </c>
      <c r="H64" s="30">
        <v>41251</v>
      </c>
      <c r="I64" s="1">
        <v>2</v>
      </c>
      <c r="J64" t="s">
        <v>250</v>
      </c>
      <c r="K64">
        <v>11</v>
      </c>
      <c r="L64" t="s">
        <v>242</v>
      </c>
      <c r="M64">
        <v>66</v>
      </c>
    </row>
    <row r="65" spans="1:13">
      <c r="A65" s="31">
        <v>64</v>
      </c>
      <c r="B65" t="s">
        <v>290</v>
      </c>
      <c r="C65">
        <v>50</v>
      </c>
      <c r="D65" t="s">
        <v>238</v>
      </c>
      <c r="E65" t="s">
        <v>239</v>
      </c>
      <c r="F65" t="s">
        <v>249</v>
      </c>
      <c r="G65">
        <v>45513</v>
      </c>
      <c r="H65" s="30">
        <v>43473</v>
      </c>
      <c r="I65" s="1">
        <v>4</v>
      </c>
      <c r="J65" t="s">
        <v>245</v>
      </c>
      <c r="K65">
        <v>38</v>
      </c>
      <c r="L65" t="s">
        <v>258</v>
      </c>
      <c r="M65">
        <v>70</v>
      </c>
    </row>
    <row r="66" spans="1:13">
      <c r="A66" s="31">
        <v>65</v>
      </c>
      <c r="B66" t="s">
        <v>307</v>
      </c>
      <c r="C66">
        <v>23</v>
      </c>
      <c r="D66" t="s">
        <v>238</v>
      </c>
      <c r="E66" t="s">
        <v>248</v>
      </c>
      <c r="F66" t="s">
        <v>257</v>
      </c>
      <c r="G66">
        <v>92859</v>
      </c>
      <c r="H66" s="30">
        <v>43420</v>
      </c>
      <c r="I66" s="1">
        <v>4</v>
      </c>
      <c r="J66" t="s">
        <v>250</v>
      </c>
      <c r="K66">
        <v>14</v>
      </c>
      <c r="L66" t="s">
        <v>258</v>
      </c>
      <c r="M66">
        <v>89</v>
      </c>
    </row>
    <row r="67" spans="1:13">
      <c r="A67" s="31">
        <v>66</v>
      </c>
      <c r="B67" t="s">
        <v>308</v>
      </c>
      <c r="C67">
        <v>27</v>
      </c>
      <c r="D67" t="s">
        <v>232</v>
      </c>
      <c r="E67" t="s">
        <v>244</v>
      </c>
      <c r="F67" t="s">
        <v>249</v>
      </c>
      <c r="G67">
        <v>59764</v>
      </c>
      <c r="H67" s="30">
        <v>42968</v>
      </c>
      <c r="I67" s="1">
        <v>2</v>
      </c>
      <c r="J67" t="s">
        <v>254</v>
      </c>
      <c r="K67">
        <v>9</v>
      </c>
      <c r="L67" t="s">
        <v>242</v>
      </c>
      <c r="M67">
        <v>67</v>
      </c>
    </row>
    <row r="68" spans="1:13">
      <c r="A68" s="31">
        <v>67</v>
      </c>
      <c r="B68" t="s">
        <v>307</v>
      </c>
      <c r="C68">
        <v>22</v>
      </c>
      <c r="D68" t="s">
        <v>238</v>
      </c>
      <c r="E68" t="s">
        <v>262</v>
      </c>
      <c r="F68" t="s">
        <v>240</v>
      </c>
      <c r="G68">
        <v>67662</v>
      </c>
      <c r="H68" s="30">
        <v>41249</v>
      </c>
      <c r="I68" s="1">
        <v>1</v>
      </c>
      <c r="J68" t="s">
        <v>254</v>
      </c>
      <c r="K68">
        <v>4</v>
      </c>
      <c r="L68" t="s">
        <v>242</v>
      </c>
      <c r="M68">
        <v>75</v>
      </c>
    </row>
    <row r="69" spans="1:13">
      <c r="A69" s="31">
        <v>68</v>
      </c>
      <c r="B69" t="s">
        <v>309</v>
      </c>
      <c r="C69">
        <v>56</v>
      </c>
      <c r="D69" t="s">
        <v>232</v>
      </c>
      <c r="E69" t="s">
        <v>262</v>
      </c>
      <c r="F69" t="s">
        <v>253</v>
      </c>
      <c r="G69">
        <v>42672</v>
      </c>
      <c r="H69" s="30">
        <v>42849</v>
      </c>
      <c r="I69" s="1">
        <v>1</v>
      </c>
      <c r="J69" t="s">
        <v>250</v>
      </c>
      <c r="K69">
        <v>11</v>
      </c>
      <c r="L69" t="s">
        <v>242</v>
      </c>
      <c r="M69">
        <v>84</v>
      </c>
    </row>
    <row r="70" spans="1:13">
      <c r="A70" s="31">
        <v>69</v>
      </c>
      <c r="B70" t="s">
        <v>243</v>
      </c>
      <c r="C70">
        <v>41</v>
      </c>
      <c r="D70" t="s">
        <v>238</v>
      </c>
      <c r="E70" t="s">
        <v>262</v>
      </c>
      <c r="F70" t="s">
        <v>249</v>
      </c>
      <c r="G70">
        <v>43365</v>
      </c>
      <c r="H70" s="30">
        <v>43937</v>
      </c>
      <c r="I70" s="1">
        <v>1</v>
      </c>
      <c r="J70" t="s">
        <v>245</v>
      </c>
      <c r="K70">
        <v>21</v>
      </c>
      <c r="L70" t="s">
        <v>258</v>
      </c>
      <c r="M70">
        <v>77</v>
      </c>
    </row>
    <row r="71" spans="1:13">
      <c r="A71" s="31">
        <v>70</v>
      </c>
      <c r="B71" t="s">
        <v>310</v>
      </c>
      <c r="C71">
        <v>45</v>
      </c>
      <c r="D71" t="s">
        <v>232</v>
      </c>
      <c r="E71" t="s">
        <v>244</v>
      </c>
      <c r="F71" t="s">
        <v>257</v>
      </c>
      <c r="G71">
        <v>56986</v>
      </c>
      <c r="H71" s="30">
        <v>44016</v>
      </c>
      <c r="I71" s="1">
        <v>5</v>
      </c>
      <c r="J71" t="s">
        <v>254</v>
      </c>
      <c r="K71">
        <v>34</v>
      </c>
      <c r="L71" t="s">
        <v>258</v>
      </c>
      <c r="M71">
        <v>66</v>
      </c>
    </row>
    <row r="72" spans="1:13">
      <c r="A72" s="31">
        <v>71</v>
      </c>
      <c r="B72" t="s">
        <v>311</v>
      </c>
      <c r="C72">
        <v>29</v>
      </c>
      <c r="D72" t="s">
        <v>232</v>
      </c>
      <c r="E72" t="s">
        <v>248</v>
      </c>
      <c r="F72" t="s">
        <v>249</v>
      </c>
      <c r="G72">
        <v>89187</v>
      </c>
      <c r="H72" s="30">
        <v>43094</v>
      </c>
      <c r="I72" s="1">
        <v>3</v>
      </c>
      <c r="J72" t="s">
        <v>254</v>
      </c>
      <c r="K72">
        <v>19</v>
      </c>
      <c r="L72" t="s">
        <v>242</v>
      </c>
      <c r="M72">
        <v>70</v>
      </c>
    </row>
    <row r="73" spans="1:13">
      <c r="A73" s="31">
        <v>72</v>
      </c>
      <c r="B73" t="s">
        <v>305</v>
      </c>
      <c r="C73">
        <v>56</v>
      </c>
      <c r="D73" t="s">
        <v>238</v>
      </c>
      <c r="E73" t="s">
        <v>262</v>
      </c>
      <c r="F73" t="s">
        <v>257</v>
      </c>
      <c r="G73">
        <v>81066</v>
      </c>
      <c r="H73" s="30">
        <v>43150</v>
      </c>
      <c r="I73" s="1">
        <v>5</v>
      </c>
      <c r="J73" t="s">
        <v>235</v>
      </c>
      <c r="K73">
        <v>39</v>
      </c>
      <c r="L73" t="s">
        <v>236</v>
      </c>
      <c r="M73">
        <v>75</v>
      </c>
    </row>
    <row r="74" spans="1:13">
      <c r="A74" s="31">
        <v>73</v>
      </c>
      <c r="B74" t="s">
        <v>265</v>
      </c>
      <c r="C74">
        <v>49</v>
      </c>
      <c r="D74" t="s">
        <v>238</v>
      </c>
      <c r="E74" t="s">
        <v>239</v>
      </c>
      <c r="F74" t="s">
        <v>253</v>
      </c>
      <c r="G74">
        <v>114049</v>
      </c>
      <c r="H74" s="30">
        <v>40390</v>
      </c>
      <c r="I74" s="1">
        <v>2</v>
      </c>
      <c r="J74" t="s">
        <v>250</v>
      </c>
      <c r="K74">
        <v>4</v>
      </c>
      <c r="L74" t="s">
        <v>242</v>
      </c>
      <c r="M74">
        <v>79</v>
      </c>
    </row>
    <row r="75" spans="1:13">
      <c r="A75" s="31">
        <v>74</v>
      </c>
      <c r="B75" t="s">
        <v>312</v>
      </c>
      <c r="C75">
        <v>41</v>
      </c>
      <c r="D75" t="s">
        <v>232</v>
      </c>
      <c r="E75" t="s">
        <v>248</v>
      </c>
      <c r="F75" t="s">
        <v>249</v>
      </c>
      <c r="G75">
        <v>44943</v>
      </c>
      <c r="H75" s="30">
        <v>43709</v>
      </c>
      <c r="I75" s="1">
        <v>3</v>
      </c>
      <c r="J75" t="s">
        <v>241</v>
      </c>
      <c r="K75">
        <v>9</v>
      </c>
      <c r="L75" t="s">
        <v>246</v>
      </c>
      <c r="M75">
        <v>61</v>
      </c>
    </row>
    <row r="76" spans="1:13">
      <c r="A76" s="31">
        <v>75</v>
      </c>
      <c r="B76" t="s">
        <v>313</v>
      </c>
      <c r="C76">
        <v>51</v>
      </c>
      <c r="D76" t="s">
        <v>232</v>
      </c>
      <c r="E76" t="s">
        <v>244</v>
      </c>
      <c r="F76" t="s">
        <v>234</v>
      </c>
      <c r="G76">
        <v>60225</v>
      </c>
      <c r="H76" s="30">
        <v>42529</v>
      </c>
      <c r="I76" s="1">
        <v>3</v>
      </c>
      <c r="J76" t="s">
        <v>235</v>
      </c>
      <c r="K76">
        <v>14</v>
      </c>
      <c r="L76" t="s">
        <v>236</v>
      </c>
      <c r="M76">
        <v>84</v>
      </c>
    </row>
    <row r="77" spans="1:13">
      <c r="A77" s="31">
        <v>76</v>
      </c>
      <c r="B77" t="s">
        <v>314</v>
      </c>
      <c r="C77">
        <v>31</v>
      </c>
      <c r="D77" t="s">
        <v>232</v>
      </c>
      <c r="E77" t="s">
        <v>244</v>
      </c>
      <c r="F77" t="s">
        <v>234</v>
      </c>
      <c r="G77">
        <v>110750</v>
      </c>
      <c r="H77" s="30">
        <v>41505</v>
      </c>
      <c r="I77" s="1">
        <v>3</v>
      </c>
      <c r="J77" t="s">
        <v>245</v>
      </c>
      <c r="K77">
        <v>21</v>
      </c>
      <c r="L77" t="s">
        <v>236</v>
      </c>
      <c r="M77">
        <v>73</v>
      </c>
    </row>
    <row r="78" spans="1:13">
      <c r="A78" s="31">
        <v>77</v>
      </c>
      <c r="B78" t="s">
        <v>315</v>
      </c>
      <c r="C78">
        <v>36</v>
      </c>
      <c r="D78" t="s">
        <v>238</v>
      </c>
      <c r="E78" t="s">
        <v>233</v>
      </c>
      <c r="F78" t="s">
        <v>234</v>
      </c>
      <c r="G78">
        <v>82396</v>
      </c>
      <c r="H78" s="30">
        <v>43543</v>
      </c>
      <c r="I78" s="1">
        <v>1</v>
      </c>
      <c r="J78" t="s">
        <v>254</v>
      </c>
      <c r="K78">
        <v>4</v>
      </c>
      <c r="L78" t="s">
        <v>236</v>
      </c>
      <c r="M78">
        <v>80</v>
      </c>
    </row>
    <row r="79" spans="1:13">
      <c r="A79" s="31">
        <v>78</v>
      </c>
      <c r="B79" t="s">
        <v>303</v>
      </c>
      <c r="C79">
        <v>24</v>
      </c>
      <c r="D79" t="s">
        <v>238</v>
      </c>
      <c r="E79" t="s">
        <v>262</v>
      </c>
      <c r="F79" t="s">
        <v>234</v>
      </c>
      <c r="G79">
        <v>75790</v>
      </c>
      <c r="H79" s="30">
        <v>43352</v>
      </c>
      <c r="I79" s="1">
        <v>3</v>
      </c>
      <c r="J79" t="s">
        <v>241</v>
      </c>
      <c r="K79">
        <v>24</v>
      </c>
      <c r="L79" t="s">
        <v>242</v>
      </c>
      <c r="M79">
        <v>68</v>
      </c>
    </row>
    <row r="80" spans="1:13">
      <c r="A80" s="31">
        <v>79</v>
      </c>
      <c r="B80" t="s">
        <v>316</v>
      </c>
      <c r="C80">
        <v>46</v>
      </c>
      <c r="D80" t="s">
        <v>238</v>
      </c>
      <c r="E80" t="s">
        <v>239</v>
      </c>
      <c r="F80" t="s">
        <v>234</v>
      </c>
      <c r="G80">
        <v>71154</v>
      </c>
      <c r="H80" s="30">
        <v>43093</v>
      </c>
      <c r="I80" s="1">
        <v>5</v>
      </c>
      <c r="J80" t="s">
        <v>254</v>
      </c>
      <c r="K80">
        <v>19</v>
      </c>
      <c r="L80" t="s">
        <v>258</v>
      </c>
      <c r="M80">
        <v>77</v>
      </c>
    </row>
    <row r="81" spans="1:13">
      <c r="A81" s="31">
        <v>80</v>
      </c>
      <c r="B81" t="s">
        <v>317</v>
      </c>
      <c r="C81">
        <v>34</v>
      </c>
      <c r="D81" t="s">
        <v>232</v>
      </c>
      <c r="E81" t="s">
        <v>248</v>
      </c>
      <c r="F81" t="s">
        <v>249</v>
      </c>
      <c r="G81">
        <v>71164</v>
      </c>
      <c r="H81" s="30">
        <v>40829</v>
      </c>
      <c r="I81" s="1">
        <v>5</v>
      </c>
      <c r="J81" t="s">
        <v>241</v>
      </c>
      <c r="K81">
        <v>30</v>
      </c>
      <c r="L81" t="s">
        <v>251</v>
      </c>
      <c r="M81">
        <v>67</v>
      </c>
    </row>
    <row r="82" spans="1:13">
      <c r="A82" s="31">
        <v>81</v>
      </c>
      <c r="B82" t="s">
        <v>318</v>
      </c>
      <c r="C82">
        <v>50</v>
      </c>
      <c r="D82" t="s">
        <v>232</v>
      </c>
      <c r="E82" t="s">
        <v>239</v>
      </c>
      <c r="F82" t="s">
        <v>240</v>
      </c>
      <c r="G82">
        <v>74142</v>
      </c>
      <c r="H82" s="30">
        <v>43353</v>
      </c>
      <c r="I82" s="1">
        <v>5</v>
      </c>
      <c r="J82" t="s">
        <v>241</v>
      </c>
      <c r="K82">
        <v>33</v>
      </c>
      <c r="L82" t="s">
        <v>251</v>
      </c>
      <c r="M82">
        <v>98</v>
      </c>
    </row>
    <row r="83" spans="1:13">
      <c r="A83" s="31">
        <v>82</v>
      </c>
      <c r="B83" t="s">
        <v>319</v>
      </c>
      <c r="C83">
        <v>24</v>
      </c>
      <c r="D83" t="s">
        <v>238</v>
      </c>
      <c r="E83" t="s">
        <v>262</v>
      </c>
      <c r="F83" t="s">
        <v>249</v>
      </c>
      <c r="G83">
        <v>53369</v>
      </c>
      <c r="H83" s="30">
        <v>41102</v>
      </c>
      <c r="I83" s="1">
        <v>1</v>
      </c>
      <c r="J83" t="s">
        <v>235</v>
      </c>
      <c r="K83">
        <v>27</v>
      </c>
      <c r="L83" t="s">
        <v>246</v>
      </c>
      <c r="M83">
        <v>73</v>
      </c>
    </row>
    <row r="84" spans="1:13">
      <c r="A84" s="31">
        <v>83</v>
      </c>
      <c r="B84" t="s">
        <v>320</v>
      </c>
      <c r="C84">
        <v>58</v>
      </c>
      <c r="D84" t="s">
        <v>232</v>
      </c>
      <c r="E84" t="s">
        <v>239</v>
      </c>
      <c r="F84" t="s">
        <v>257</v>
      </c>
      <c r="G84">
        <v>42846</v>
      </c>
      <c r="H84" s="30">
        <v>42607</v>
      </c>
      <c r="I84" s="1">
        <v>3</v>
      </c>
      <c r="J84" t="s">
        <v>254</v>
      </c>
      <c r="K84">
        <v>32</v>
      </c>
      <c r="L84" t="s">
        <v>251</v>
      </c>
      <c r="M84">
        <v>74</v>
      </c>
    </row>
    <row r="85" spans="1:13">
      <c r="A85" s="31">
        <v>84</v>
      </c>
      <c r="B85" t="s">
        <v>263</v>
      </c>
      <c r="C85">
        <v>34</v>
      </c>
      <c r="D85" t="s">
        <v>232</v>
      </c>
      <c r="E85" t="s">
        <v>244</v>
      </c>
      <c r="F85" t="s">
        <v>253</v>
      </c>
      <c r="G85">
        <v>61698</v>
      </c>
      <c r="H85" s="30">
        <v>42643</v>
      </c>
      <c r="I85" s="1">
        <v>1</v>
      </c>
      <c r="J85" t="s">
        <v>250</v>
      </c>
      <c r="K85">
        <v>0</v>
      </c>
      <c r="L85" t="s">
        <v>246</v>
      </c>
      <c r="M85">
        <v>86</v>
      </c>
    </row>
    <row r="86" spans="1:13">
      <c r="A86" s="31">
        <v>85</v>
      </c>
      <c r="B86" t="s">
        <v>321</v>
      </c>
      <c r="C86">
        <v>51</v>
      </c>
      <c r="D86" t="s">
        <v>232</v>
      </c>
      <c r="E86" t="s">
        <v>244</v>
      </c>
      <c r="F86" t="s">
        <v>257</v>
      </c>
      <c r="G86">
        <v>67402</v>
      </c>
      <c r="H86" s="30">
        <v>44103</v>
      </c>
      <c r="I86" s="1">
        <v>4</v>
      </c>
      <c r="J86" t="s">
        <v>254</v>
      </c>
      <c r="K86">
        <v>24</v>
      </c>
      <c r="L86" t="s">
        <v>242</v>
      </c>
      <c r="M86">
        <v>67</v>
      </c>
    </row>
    <row r="87" spans="1:13">
      <c r="A87" s="31">
        <v>86</v>
      </c>
      <c r="B87" t="s">
        <v>322</v>
      </c>
      <c r="C87">
        <v>26</v>
      </c>
      <c r="D87" t="s">
        <v>238</v>
      </c>
      <c r="E87" t="s">
        <v>248</v>
      </c>
      <c r="F87" t="s">
        <v>234</v>
      </c>
      <c r="G87">
        <v>111033</v>
      </c>
      <c r="H87" s="30">
        <v>44168</v>
      </c>
      <c r="I87" s="1">
        <v>5</v>
      </c>
      <c r="J87" t="s">
        <v>254</v>
      </c>
      <c r="K87">
        <v>33</v>
      </c>
      <c r="L87" t="s">
        <v>258</v>
      </c>
      <c r="M87">
        <v>84</v>
      </c>
    </row>
    <row r="88" spans="1:13">
      <c r="A88" s="31">
        <v>87</v>
      </c>
      <c r="B88" t="s">
        <v>308</v>
      </c>
      <c r="C88">
        <v>33</v>
      </c>
      <c r="D88" t="s">
        <v>232</v>
      </c>
      <c r="E88" t="s">
        <v>239</v>
      </c>
      <c r="F88" t="s">
        <v>257</v>
      </c>
      <c r="G88">
        <v>102081</v>
      </c>
      <c r="H88" s="30">
        <v>42153</v>
      </c>
      <c r="I88" s="1">
        <v>4</v>
      </c>
      <c r="J88" t="s">
        <v>241</v>
      </c>
      <c r="K88">
        <v>4</v>
      </c>
      <c r="L88" t="s">
        <v>242</v>
      </c>
      <c r="M88">
        <v>78</v>
      </c>
    </row>
    <row r="89" spans="1:13">
      <c r="A89" s="31">
        <v>88</v>
      </c>
      <c r="B89" t="s">
        <v>323</v>
      </c>
      <c r="C89">
        <v>47</v>
      </c>
      <c r="D89" t="s">
        <v>232</v>
      </c>
      <c r="E89" t="s">
        <v>233</v>
      </c>
      <c r="F89" t="s">
        <v>240</v>
      </c>
      <c r="G89">
        <v>109216</v>
      </c>
      <c r="H89" s="30">
        <v>44024</v>
      </c>
      <c r="I89" s="1">
        <v>5</v>
      </c>
      <c r="J89" t="s">
        <v>235</v>
      </c>
      <c r="K89">
        <v>0</v>
      </c>
      <c r="L89" t="s">
        <v>236</v>
      </c>
      <c r="M89">
        <v>90</v>
      </c>
    </row>
    <row r="90" spans="1:13">
      <c r="A90" s="31">
        <v>89</v>
      </c>
      <c r="B90" t="s">
        <v>324</v>
      </c>
      <c r="C90">
        <v>26</v>
      </c>
      <c r="D90" t="s">
        <v>238</v>
      </c>
      <c r="E90" t="s">
        <v>244</v>
      </c>
      <c r="F90" t="s">
        <v>240</v>
      </c>
      <c r="G90">
        <v>57926</v>
      </c>
      <c r="H90" s="30">
        <v>43740</v>
      </c>
      <c r="I90" s="1">
        <v>1</v>
      </c>
      <c r="J90" t="s">
        <v>254</v>
      </c>
      <c r="K90">
        <v>11</v>
      </c>
      <c r="L90" t="s">
        <v>258</v>
      </c>
      <c r="M90">
        <v>88</v>
      </c>
    </row>
    <row r="91" spans="1:13">
      <c r="A91" s="31">
        <v>90</v>
      </c>
      <c r="B91" t="s">
        <v>325</v>
      </c>
      <c r="C91">
        <v>60</v>
      </c>
      <c r="D91" t="s">
        <v>232</v>
      </c>
      <c r="E91" t="s">
        <v>248</v>
      </c>
      <c r="F91" t="s">
        <v>257</v>
      </c>
      <c r="G91">
        <v>114675</v>
      </c>
      <c r="H91" s="30">
        <v>42205</v>
      </c>
      <c r="I91" s="1">
        <v>2</v>
      </c>
      <c r="J91" t="s">
        <v>250</v>
      </c>
      <c r="K91">
        <v>40</v>
      </c>
      <c r="L91" t="s">
        <v>242</v>
      </c>
      <c r="M91">
        <v>88</v>
      </c>
    </row>
    <row r="92" spans="1:13">
      <c r="A92" s="31">
        <v>91</v>
      </c>
      <c r="B92" t="s">
        <v>326</v>
      </c>
      <c r="C92">
        <v>43</v>
      </c>
      <c r="D92" t="s">
        <v>238</v>
      </c>
      <c r="E92" t="s">
        <v>233</v>
      </c>
      <c r="F92" t="s">
        <v>253</v>
      </c>
      <c r="G92">
        <v>80379</v>
      </c>
      <c r="H92" s="30">
        <v>44030</v>
      </c>
      <c r="I92" s="1">
        <v>3</v>
      </c>
      <c r="J92" t="s">
        <v>254</v>
      </c>
      <c r="K92">
        <v>27</v>
      </c>
      <c r="L92" t="s">
        <v>251</v>
      </c>
      <c r="M92">
        <v>87</v>
      </c>
    </row>
    <row r="93" spans="1:13">
      <c r="A93" s="31">
        <v>92</v>
      </c>
      <c r="B93" t="s">
        <v>327</v>
      </c>
      <c r="C93">
        <v>58</v>
      </c>
      <c r="D93" t="s">
        <v>238</v>
      </c>
      <c r="E93" t="s">
        <v>239</v>
      </c>
      <c r="F93" t="s">
        <v>240</v>
      </c>
      <c r="G93">
        <v>47334</v>
      </c>
      <c r="H93" s="30">
        <v>42650</v>
      </c>
      <c r="I93" s="1">
        <v>1</v>
      </c>
      <c r="J93" t="s">
        <v>245</v>
      </c>
      <c r="K93">
        <v>25</v>
      </c>
      <c r="L93" t="s">
        <v>236</v>
      </c>
      <c r="M93">
        <v>94</v>
      </c>
    </row>
    <row r="94" spans="1:13">
      <c r="A94" s="31">
        <v>93</v>
      </c>
      <c r="B94" t="s">
        <v>281</v>
      </c>
      <c r="C94">
        <v>29</v>
      </c>
      <c r="D94" t="s">
        <v>238</v>
      </c>
      <c r="E94" t="s">
        <v>244</v>
      </c>
      <c r="F94" t="s">
        <v>253</v>
      </c>
      <c r="G94">
        <v>119320</v>
      </c>
      <c r="H94" s="30">
        <v>42291</v>
      </c>
      <c r="I94" s="1">
        <v>3</v>
      </c>
      <c r="J94" t="s">
        <v>254</v>
      </c>
      <c r="K94">
        <v>40</v>
      </c>
      <c r="L94" t="s">
        <v>242</v>
      </c>
      <c r="M94">
        <v>72</v>
      </c>
    </row>
    <row r="95" spans="1:13">
      <c r="A95" s="31">
        <v>94</v>
      </c>
      <c r="B95" t="s">
        <v>328</v>
      </c>
      <c r="C95">
        <v>52</v>
      </c>
      <c r="D95" t="s">
        <v>238</v>
      </c>
      <c r="E95" t="s">
        <v>239</v>
      </c>
      <c r="F95" t="s">
        <v>253</v>
      </c>
      <c r="G95">
        <v>100975</v>
      </c>
      <c r="H95" s="30">
        <v>42557</v>
      </c>
      <c r="I95" s="1">
        <v>4</v>
      </c>
      <c r="J95" t="s">
        <v>250</v>
      </c>
      <c r="K95">
        <v>28</v>
      </c>
      <c r="L95" t="s">
        <v>258</v>
      </c>
      <c r="M95">
        <v>84</v>
      </c>
    </row>
    <row r="96" spans="1:13">
      <c r="A96" s="31">
        <v>95</v>
      </c>
      <c r="B96" t="s">
        <v>314</v>
      </c>
      <c r="C96">
        <v>29</v>
      </c>
      <c r="D96" t="s">
        <v>232</v>
      </c>
      <c r="E96" t="s">
        <v>233</v>
      </c>
      <c r="F96" t="s">
        <v>253</v>
      </c>
      <c r="G96">
        <v>95235</v>
      </c>
      <c r="H96" s="30">
        <v>43166</v>
      </c>
      <c r="I96" s="1">
        <v>5</v>
      </c>
      <c r="J96" t="s">
        <v>241</v>
      </c>
      <c r="K96">
        <v>9</v>
      </c>
      <c r="L96" t="s">
        <v>251</v>
      </c>
      <c r="M96">
        <v>84</v>
      </c>
    </row>
    <row r="97" spans="1:13">
      <c r="A97" s="31">
        <v>96</v>
      </c>
      <c r="B97" t="s">
        <v>329</v>
      </c>
      <c r="C97">
        <v>30</v>
      </c>
      <c r="D97" t="s">
        <v>232</v>
      </c>
      <c r="E97" t="s">
        <v>248</v>
      </c>
      <c r="F97" t="s">
        <v>240</v>
      </c>
      <c r="G97">
        <v>110321</v>
      </c>
      <c r="H97" s="30">
        <v>42030</v>
      </c>
      <c r="I97" s="1">
        <v>5</v>
      </c>
      <c r="J97" t="s">
        <v>241</v>
      </c>
      <c r="K97">
        <v>15</v>
      </c>
      <c r="L97" t="s">
        <v>258</v>
      </c>
      <c r="M97">
        <v>75</v>
      </c>
    </row>
    <row r="98" spans="1:13">
      <c r="A98" s="31">
        <v>97</v>
      </c>
      <c r="B98" t="s">
        <v>323</v>
      </c>
      <c r="C98">
        <v>30</v>
      </c>
      <c r="D98" t="s">
        <v>232</v>
      </c>
      <c r="E98" t="s">
        <v>244</v>
      </c>
      <c r="F98" t="s">
        <v>234</v>
      </c>
      <c r="G98">
        <v>45286</v>
      </c>
      <c r="H98" s="30">
        <v>41452</v>
      </c>
      <c r="I98" s="1">
        <v>3</v>
      </c>
      <c r="J98" t="s">
        <v>245</v>
      </c>
      <c r="K98">
        <v>32</v>
      </c>
      <c r="L98" t="s">
        <v>258</v>
      </c>
      <c r="M98">
        <v>68</v>
      </c>
    </row>
    <row r="99" spans="1:13">
      <c r="A99" s="31">
        <v>98</v>
      </c>
      <c r="B99" t="s">
        <v>265</v>
      </c>
      <c r="C99">
        <v>30</v>
      </c>
      <c r="D99" t="s">
        <v>238</v>
      </c>
      <c r="E99" t="s">
        <v>239</v>
      </c>
      <c r="F99" t="s">
        <v>240</v>
      </c>
      <c r="G99">
        <v>98186</v>
      </c>
      <c r="H99" s="30">
        <v>43145</v>
      </c>
      <c r="I99" s="1">
        <v>5</v>
      </c>
      <c r="J99" t="s">
        <v>254</v>
      </c>
      <c r="K99">
        <v>15</v>
      </c>
      <c r="L99" t="s">
        <v>251</v>
      </c>
      <c r="M99">
        <v>76</v>
      </c>
    </row>
    <row r="100" spans="1:13">
      <c r="A100" s="31">
        <v>99</v>
      </c>
      <c r="B100" t="s">
        <v>330</v>
      </c>
      <c r="C100">
        <v>35</v>
      </c>
      <c r="D100" t="s">
        <v>232</v>
      </c>
      <c r="E100" t="s">
        <v>233</v>
      </c>
      <c r="F100" t="s">
        <v>240</v>
      </c>
      <c r="G100">
        <v>73960</v>
      </c>
      <c r="H100" s="30">
        <v>40375</v>
      </c>
      <c r="I100" s="1">
        <v>5</v>
      </c>
      <c r="J100" t="s">
        <v>254</v>
      </c>
      <c r="K100">
        <v>2</v>
      </c>
      <c r="L100" t="s">
        <v>236</v>
      </c>
      <c r="M100">
        <v>89</v>
      </c>
    </row>
    <row r="101" spans="1:13">
      <c r="A101" s="31">
        <v>100</v>
      </c>
      <c r="B101" t="s">
        <v>331</v>
      </c>
      <c r="C101">
        <v>33</v>
      </c>
      <c r="D101" t="s">
        <v>232</v>
      </c>
      <c r="E101" t="s">
        <v>239</v>
      </c>
      <c r="F101" t="s">
        <v>240</v>
      </c>
      <c r="G101">
        <v>59326</v>
      </c>
      <c r="H101" s="30">
        <v>41998</v>
      </c>
      <c r="I101" s="1">
        <v>3</v>
      </c>
      <c r="J101" t="s">
        <v>254</v>
      </c>
      <c r="K101">
        <v>28</v>
      </c>
      <c r="L101" t="s">
        <v>258</v>
      </c>
      <c r="M101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I15"/>
  <sheetViews>
    <sheetView topLeftCell="C1" workbookViewId="0">
      <selection activeCell="E7" sqref="E7"/>
    </sheetView>
  </sheetViews>
  <sheetFormatPr defaultColWidth="9" defaultRowHeight="15"/>
  <cols>
    <col min="1" max="1" width="7.5546875" style="1" bestFit="1" customWidth="1"/>
    <col min="2" max="2" width="17.109375" style="1" bestFit="1" customWidth="1"/>
    <col min="3" max="3" width="27.21875" style="1" bestFit="1" customWidth="1"/>
    <col min="4" max="4" width="19.44140625" style="1" bestFit="1" customWidth="1"/>
    <col min="5" max="5" width="27.21875" style="1" bestFit="1" customWidth="1"/>
    <col min="6" max="6" width="22.33203125" style="1" bestFit="1" customWidth="1"/>
    <col min="7" max="8" width="9" style="1"/>
    <col min="9" max="9" width="21.88671875" style="1" bestFit="1" customWidth="1"/>
    <col min="10" max="16384" width="9" style="1"/>
  </cols>
  <sheetData>
    <row r="1" spans="1:9" ht="20.25" thickBot="1">
      <c r="A1" s="29" t="s">
        <v>213</v>
      </c>
      <c r="B1" s="29"/>
      <c r="C1" s="29"/>
      <c r="D1" s="29"/>
      <c r="E1" s="29"/>
      <c r="F1" s="29"/>
    </row>
    <row r="2" spans="1:9" ht="15.75" thickTop="1"/>
    <row r="3" spans="1:9" ht="19.5">
      <c r="A3" s="8" t="s">
        <v>172</v>
      </c>
      <c r="B3" s="8" t="s">
        <v>173</v>
      </c>
      <c r="C3" s="8" t="s">
        <v>174</v>
      </c>
      <c r="D3" s="8" t="s">
        <v>175</v>
      </c>
      <c r="E3" s="8" t="s">
        <v>176</v>
      </c>
      <c r="F3" s="8" t="s">
        <v>177</v>
      </c>
      <c r="I3" s="8" t="s">
        <v>216</v>
      </c>
    </row>
    <row r="4" spans="1:9">
      <c r="A4" s="2" t="s">
        <v>178</v>
      </c>
      <c r="B4" s="2">
        <v>10</v>
      </c>
      <c r="C4" s="2">
        <v>250</v>
      </c>
      <c r="D4" s="9">
        <v>0.04</v>
      </c>
      <c r="E4" s="2" t="s">
        <v>179</v>
      </c>
      <c r="F4" s="2" t="s">
        <v>180</v>
      </c>
      <c r="I4" s="11" t="s">
        <v>185</v>
      </c>
    </row>
    <row r="5" spans="1:9">
      <c r="A5" s="2" t="s">
        <v>181</v>
      </c>
      <c r="B5" s="2">
        <v>8</v>
      </c>
      <c r="C5" s="2">
        <v>255</v>
      </c>
      <c r="D5" s="10">
        <v>3.1399999999999997E-2</v>
      </c>
      <c r="E5" s="2" t="s">
        <v>182</v>
      </c>
      <c r="F5" s="2" t="s">
        <v>183</v>
      </c>
      <c r="I5" s="11" t="s">
        <v>194</v>
      </c>
    </row>
    <row r="6" spans="1:9">
      <c r="A6" s="2" t="s">
        <v>184</v>
      </c>
      <c r="B6" s="2">
        <v>12</v>
      </c>
      <c r="C6" s="2">
        <v>260</v>
      </c>
      <c r="D6" s="10">
        <v>4.6199999999999998E-2</v>
      </c>
      <c r="E6" s="2" t="s">
        <v>185</v>
      </c>
      <c r="F6" s="2" t="s">
        <v>186</v>
      </c>
      <c r="I6" s="11" t="s">
        <v>197</v>
      </c>
    </row>
    <row r="7" spans="1:9">
      <c r="A7" s="2" t="s">
        <v>187</v>
      </c>
      <c r="B7" s="2">
        <v>9</v>
      </c>
      <c r="C7" s="2">
        <v>265</v>
      </c>
      <c r="D7" s="10">
        <v>3.4000000000000002E-2</v>
      </c>
      <c r="E7" s="2" t="s">
        <v>188</v>
      </c>
      <c r="F7" s="2" t="s">
        <v>189</v>
      </c>
      <c r="I7" s="11" t="s">
        <v>205</v>
      </c>
    </row>
    <row r="8" spans="1:9">
      <c r="A8" s="2" t="s">
        <v>190</v>
      </c>
      <c r="B8" s="2">
        <v>11</v>
      </c>
      <c r="C8" s="2">
        <v>270</v>
      </c>
      <c r="D8" s="10">
        <v>4.07E-2</v>
      </c>
      <c r="E8" s="2" t="s">
        <v>191</v>
      </c>
      <c r="F8" s="2" t="s">
        <v>192</v>
      </c>
      <c r="I8"/>
    </row>
    <row r="9" spans="1:9">
      <c r="A9" s="2" t="s">
        <v>193</v>
      </c>
      <c r="B9" s="2">
        <v>7</v>
      </c>
      <c r="C9" s="2">
        <v>275</v>
      </c>
      <c r="D9" s="10">
        <v>2.5499999999999998E-2</v>
      </c>
      <c r="E9" s="2" t="s">
        <v>194</v>
      </c>
      <c r="F9" s="2" t="s">
        <v>195</v>
      </c>
      <c r="I9"/>
    </row>
    <row r="10" spans="1:9">
      <c r="A10" s="2" t="s">
        <v>196</v>
      </c>
      <c r="B10" s="2">
        <v>10</v>
      </c>
      <c r="C10" s="2">
        <v>280</v>
      </c>
      <c r="D10" s="10">
        <v>3.5700000000000003E-2</v>
      </c>
      <c r="E10" s="2" t="s">
        <v>197</v>
      </c>
      <c r="F10" s="2" t="s">
        <v>198</v>
      </c>
      <c r="I10"/>
    </row>
    <row r="11" spans="1:9">
      <c r="A11" s="2" t="s">
        <v>199</v>
      </c>
      <c r="B11" s="2">
        <v>8</v>
      </c>
      <c r="C11" s="2">
        <v>285</v>
      </c>
      <c r="D11" s="10">
        <v>2.81E-2</v>
      </c>
      <c r="E11" s="2" t="s">
        <v>179</v>
      </c>
      <c r="F11" s="2" t="s">
        <v>200</v>
      </c>
      <c r="I11"/>
    </row>
    <row r="12" spans="1:9">
      <c r="A12" s="2" t="s">
        <v>201</v>
      </c>
      <c r="B12" s="2">
        <v>13</v>
      </c>
      <c r="C12" s="2">
        <v>290</v>
      </c>
      <c r="D12" s="10">
        <v>4.48E-2</v>
      </c>
      <c r="E12" s="2" t="s">
        <v>202</v>
      </c>
      <c r="F12" s="2" t="s">
        <v>203</v>
      </c>
      <c r="I12"/>
    </row>
    <row r="13" spans="1:9">
      <c r="A13" s="2" t="s">
        <v>204</v>
      </c>
      <c r="B13" s="2">
        <v>6</v>
      </c>
      <c r="C13" s="2">
        <v>295</v>
      </c>
      <c r="D13" s="10">
        <v>2.0299999999999999E-2</v>
      </c>
      <c r="E13" s="2" t="s">
        <v>205</v>
      </c>
      <c r="F13" s="2" t="s">
        <v>206</v>
      </c>
      <c r="I13"/>
    </row>
    <row r="14" spans="1:9">
      <c r="A14" s="2" t="s">
        <v>207</v>
      </c>
      <c r="B14" s="2">
        <v>10</v>
      </c>
      <c r="C14" s="2">
        <v>300</v>
      </c>
      <c r="D14" s="10">
        <v>3.3300000000000003E-2</v>
      </c>
      <c r="E14" s="2" t="s">
        <v>208</v>
      </c>
      <c r="F14" s="2" t="s">
        <v>209</v>
      </c>
      <c r="I14"/>
    </row>
    <row r="15" spans="1:9">
      <c r="A15" s="2" t="s">
        <v>210</v>
      </c>
      <c r="B15" s="2">
        <v>7</v>
      </c>
      <c r="C15" s="2">
        <v>305</v>
      </c>
      <c r="D15" s="10">
        <v>2.3E-2</v>
      </c>
      <c r="E15" s="2" t="s">
        <v>211</v>
      </c>
      <c r="F15" s="2" t="s">
        <v>212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"/>
  <sheetViews>
    <sheetView workbookViewId="0">
      <selection activeCell="D6" sqref="D6"/>
    </sheetView>
  </sheetViews>
  <sheetFormatPr defaultRowHeight="15"/>
  <sheetData>
    <row r="1" spans="1:1">
      <c r="A1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Table Tools</vt:lpstr>
      <vt:lpstr>Conditional Formatting</vt:lpstr>
      <vt:lpstr>Subtotal</vt:lpstr>
      <vt:lpstr>Sheet2</vt:lpstr>
      <vt:lpstr>hr data</vt:lpstr>
      <vt:lpstr>Data Validation</vt:lpstr>
      <vt:lpstr>Pivot Data</vt:lpstr>
      <vt:lpstr>'hr data'!hr_data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Wilke</dc:creator>
  <cp:lastModifiedBy>hp</cp:lastModifiedBy>
  <dcterms:created xsi:type="dcterms:W3CDTF">2024-05-23T18:37:28Z</dcterms:created>
  <dcterms:modified xsi:type="dcterms:W3CDTF">2025-10-29T02:52:25Z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2024-05-23T18:44:32Z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cd5097bf-36ed-4432-a229-ea9b322fa882</vt:lpwstr>
  </property>
  <property fmtid="{D5CDD505-2E9C-101B-9397-08002B2CF9AE}" pid="7" name="MSIP_Label_defa4170-0d19-0005-0004-bc88714345d2_ActionId">
    <vt:lpwstr>0fe69463-b3ec-4f3a-8ce4-ddbde8587b20</vt:lpwstr>
  </property>
  <property fmtid="{D5CDD505-2E9C-101B-9397-08002B2CF9AE}" pid="8" name="MSIP_Label_defa4170-0d19-0005-0004-bc88714345d2_ContentBits">
    <vt:lpwstr>0</vt:lpwstr>
  </property>
</Properties>
</file>