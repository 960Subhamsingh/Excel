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Excel for HR Exercise Files\"/>
    </mc:Choice>
  </mc:AlternateContent>
  <bookViews>
    <workbookView xWindow="0" yWindow="0" windowWidth="20490" windowHeight="7755" tabRatio="659" firstSheet="1" activeTab="5"/>
  </bookViews>
  <sheets>
    <sheet name="Text Functions" sheetId="1" r:id="rId1"/>
    <sheet name="Formulas" sheetId="2" r:id="rId2"/>
    <sheet name="Functions" sheetId="3" r:id="rId3"/>
    <sheet name="Xlookup" sheetId="18" r:id="rId4"/>
    <sheet name="Charts" sheetId="4" r:id="rId5"/>
    <sheet name="Consolidation" sheetId="5" r:id="rId6"/>
    <sheet name="California" sheetId="14" r:id="rId7"/>
    <sheet name="Washington" sheetId="16" r:id="rId8"/>
    <sheet name="Oregon" sheetId="15" r:id="rId9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I11" i="3"/>
  <c r="H11" i="3"/>
  <c r="H2" i="3"/>
  <c r="G2" i="2"/>
  <c r="K12" i="2"/>
  <c r="E10" i="5" l="1"/>
  <c r="D10" i="5"/>
  <c r="C10" i="5"/>
  <c r="B10" i="5"/>
  <c r="M2" i="1"/>
  <c r="H2" i="1" s="1"/>
</calcChain>
</file>

<file path=xl/sharedStrings.xml><?xml version="1.0" encoding="utf-8"?>
<sst xmlns="http://schemas.openxmlformats.org/spreadsheetml/2006/main" count="597" uniqueCount="226">
  <si>
    <t>Emp#</t>
  </si>
  <si>
    <t>Name</t>
  </si>
  <si>
    <t>First</t>
  </si>
  <si>
    <t>Last</t>
  </si>
  <si>
    <t>Dept</t>
  </si>
  <si>
    <t>Hire Date</t>
  </si>
  <si>
    <t>Pay Rate</t>
  </si>
  <si>
    <t>Hours</t>
  </si>
  <si>
    <t>Current Date</t>
  </si>
  <si>
    <t>Length of Service</t>
  </si>
  <si>
    <t>Edwin Johnson</t>
  </si>
  <si>
    <t>Lou Rivas</t>
  </si>
  <si>
    <t>Wade Maynard</t>
  </si>
  <si>
    <t>Rickey Lancaster</t>
  </si>
  <si>
    <t>Kelly Roy</t>
  </si>
  <si>
    <t>Dianne Dillon</t>
  </si>
  <si>
    <t>Mel Estrada</t>
  </si>
  <si>
    <t>Candace Kimball</t>
  </si>
  <si>
    <t>Marcos Abbott</t>
  </si>
  <si>
    <t>Lucille Loomis</t>
  </si>
  <si>
    <t>Antonia More</t>
  </si>
  <si>
    <t>Cecelia Carr</t>
  </si>
  <si>
    <t>Roxanne Rollins</t>
  </si>
  <si>
    <t>Ralph Dunbar</t>
  </si>
  <si>
    <t>Omar Mathews</t>
  </si>
  <si>
    <t>Cheri Kennedy</t>
  </si>
  <si>
    <t>Doug McGrath</t>
  </si>
  <si>
    <t>Carl Howard</t>
  </si>
  <si>
    <t>Bill Crane</t>
  </si>
  <si>
    <t>Van Galloway</t>
  </si>
  <si>
    <t>Cara Stevenson</t>
  </si>
  <si>
    <t>Shelley Moon</t>
  </si>
  <si>
    <t>Howard Webster</t>
  </si>
  <si>
    <t>Derek Fuller</t>
  </si>
  <si>
    <t>Herbert Daley</t>
  </si>
  <si>
    <t>Jacqueline Cordova</t>
  </si>
  <si>
    <t>Brandi Turner</t>
  </si>
  <si>
    <t>Marian Adkins</t>
  </si>
  <si>
    <t>Shari Melendez</t>
  </si>
  <si>
    <t>Janis Thornton</t>
  </si>
  <si>
    <t>Ricky Merritt</t>
  </si>
  <si>
    <t>Hazel Rich</t>
  </si>
  <si>
    <t>Myron Downs</t>
  </si>
  <si>
    <t>Brent Brock</t>
  </si>
  <si>
    <t>Maria White</t>
  </si>
  <si>
    <t>George Gates</t>
  </si>
  <si>
    <t>Cristina Hubbard</t>
  </si>
  <si>
    <t>Sam Gleason</t>
  </si>
  <si>
    <t>Trisha Graham</t>
  </si>
  <si>
    <t>Jesus Golden</t>
  </si>
  <si>
    <t>Ethel Nash</t>
  </si>
  <si>
    <t>Steven Nunez</t>
  </si>
  <si>
    <t>Rodolfo Li</t>
  </si>
  <si>
    <t>Bob Harvey</t>
  </si>
  <si>
    <t>Elisa Chan</t>
  </si>
  <si>
    <t>Sean Tate</t>
  </si>
  <si>
    <t>Pedro Frost</t>
  </si>
  <si>
    <t>Shannon Drew</t>
  </si>
  <si>
    <t>Lonnie Barton</t>
  </si>
  <si>
    <t>Ernie Chandler</t>
  </si>
  <si>
    <t>Cost</t>
  </si>
  <si>
    <t>Los Angeles, CA</t>
  </si>
  <si>
    <t>Houston, TX</t>
  </si>
  <si>
    <t>Seattle, WA</t>
  </si>
  <si>
    <t>San Francisco, CA</t>
  </si>
  <si>
    <t>Dallas, TX</t>
  </si>
  <si>
    <t>Phoenix, AZ</t>
  </si>
  <si>
    <t>Portland, OR</t>
  </si>
  <si>
    <t>San Diego, CA</t>
  </si>
  <si>
    <t>Austin, TX</t>
  </si>
  <si>
    <t>Las Vegas, NV</t>
  </si>
  <si>
    <t>New Orleans, LA</t>
  </si>
  <si>
    <t>Salt Lake City, UT</t>
  </si>
  <si>
    <t>Albuquerque, NM</t>
  </si>
  <si>
    <t>Sacramento, CA</t>
  </si>
  <si>
    <t>Boise, ID</t>
  </si>
  <si>
    <t>Fargo, ND</t>
  </si>
  <si>
    <t>Des Moines, IA</t>
  </si>
  <si>
    <t>Helena, MT</t>
  </si>
  <si>
    <t>Salem, OR</t>
  </si>
  <si>
    <t>Location</t>
  </si>
  <si>
    <t>State</t>
  </si>
  <si>
    <t>Q1</t>
  </si>
  <si>
    <t>Q2</t>
  </si>
  <si>
    <t>Q3</t>
  </si>
  <si>
    <t>Q4</t>
  </si>
  <si>
    <t>Software Applications</t>
  </si>
  <si>
    <t>Pro Dev Training, Final Report</t>
  </si>
  <si>
    <t>Leadership</t>
  </si>
  <si>
    <t>Computer Skills</t>
  </si>
  <si>
    <t>Public Speaking</t>
  </si>
  <si>
    <t>Pro Dev Training, California</t>
  </si>
  <si>
    <t>Communication</t>
  </si>
  <si>
    <t>Pro Dev Training, Oregon</t>
  </si>
  <si>
    <t>Pro Dev Training, Washington</t>
  </si>
  <si>
    <t>Program</t>
  </si>
  <si>
    <t>Totals</t>
  </si>
  <si>
    <t>Gross Pay</t>
  </si>
  <si>
    <t>Days Used</t>
  </si>
  <si>
    <t>Days Remaining</t>
  </si>
  <si>
    <t>Days Allotted</t>
  </si>
  <si>
    <t>Employee</t>
  </si>
  <si>
    <t>OIT</t>
  </si>
  <si>
    <t>Accounting</t>
  </si>
  <si>
    <t>Marketing</t>
  </si>
  <si>
    <t>Executive</t>
  </si>
  <si>
    <t>HR</t>
  </si>
  <si>
    <t>Programs taken</t>
  </si>
  <si>
    <t>Total Cost</t>
  </si>
  <si>
    <t>Moe Jones</t>
  </si>
  <si>
    <t>Average Cost</t>
  </si>
  <si>
    <t>Edwin</t>
  </si>
  <si>
    <t>Johnson</t>
  </si>
  <si>
    <t>Lou</t>
  </si>
  <si>
    <t>Rivas</t>
  </si>
  <si>
    <t>Wade</t>
  </si>
  <si>
    <t>Maynard</t>
  </si>
  <si>
    <t>Rickey</t>
  </si>
  <si>
    <t>Lancaster</t>
  </si>
  <si>
    <t>Kelly</t>
  </si>
  <si>
    <t>Roy</t>
  </si>
  <si>
    <t>Dianne</t>
  </si>
  <si>
    <t>Dillon</t>
  </si>
  <si>
    <t>Mel</t>
  </si>
  <si>
    <t>Estrada</t>
  </si>
  <si>
    <t>Candace</t>
  </si>
  <si>
    <t>Kimball</t>
  </si>
  <si>
    <t>Marcos</t>
  </si>
  <si>
    <t>Abbott</t>
  </si>
  <si>
    <t>Lucille</t>
  </si>
  <si>
    <t>Loomis</t>
  </si>
  <si>
    <t>Antonia</t>
  </si>
  <si>
    <t>More</t>
  </si>
  <si>
    <t>Cecelia</t>
  </si>
  <si>
    <t>Carr</t>
  </si>
  <si>
    <t>Roxanne</t>
  </si>
  <si>
    <t>Rollins</t>
  </si>
  <si>
    <t>Ralph</t>
  </si>
  <si>
    <t>Dunbar</t>
  </si>
  <si>
    <t>Omar</t>
  </si>
  <si>
    <t>Mathews</t>
  </si>
  <si>
    <t>Cheri</t>
  </si>
  <si>
    <t>Kennedy</t>
  </si>
  <si>
    <t>Doug</t>
  </si>
  <si>
    <t>McGrath</t>
  </si>
  <si>
    <t>Carl</t>
  </si>
  <si>
    <t>Howard</t>
  </si>
  <si>
    <t>Bill</t>
  </si>
  <si>
    <t>Crane</t>
  </si>
  <si>
    <t>Van</t>
  </si>
  <si>
    <t>Galloway</t>
  </si>
  <si>
    <t>Cara</t>
  </si>
  <si>
    <t>Stevenson</t>
  </si>
  <si>
    <t>Shelley</t>
  </si>
  <si>
    <t>Moon</t>
  </si>
  <si>
    <t>Webster</t>
  </si>
  <si>
    <t>Derek</t>
  </si>
  <si>
    <t>Fuller</t>
  </si>
  <si>
    <t>Herbert</t>
  </si>
  <si>
    <t>Daley</t>
  </si>
  <si>
    <t>Jacqueline</t>
  </si>
  <si>
    <t>Cordova</t>
  </si>
  <si>
    <t>Brandi</t>
  </si>
  <si>
    <t>Turner</t>
  </si>
  <si>
    <t>Marian</t>
  </si>
  <si>
    <t>Adkins</t>
  </si>
  <si>
    <t>Shari</t>
  </si>
  <si>
    <t>Melendez</t>
  </si>
  <si>
    <t>Janis</t>
  </si>
  <si>
    <t>Thornton</t>
  </si>
  <si>
    <t>Ricky</t>
  </si>
  <si>
    <t>Merritt</t>
  </si>
  <si>
    <t>Hazel</t>
  </si>
  <si>
    <t>Rich</t>
  </si>
  <si>
    <t>Myron</t>
  </si>
  <si>
    <t>Downs</t>
  </si>
  <si>
    <t>Brent</t>
  </si>
  <si>
    <t>Brock</t>
  </si>
  <si>
    <t>Maria</t>
  </si>
  <si>
    <t>White</t>
  </si>
  <si>
    <t>George</t>
  </si>
  <si>
    <t>Gates</t>
  </si>
  <si>
    <t>Cristina</t>
  </si>
  <si>
    <t>Hubbard</t>
  </si>
  <si>
    <t>Sam</t>
  </si>
  <si>
    <t>Gleason</t>
  </si>
  <si>
    <t>Trisha</t>
  </si>
  <si>
    <t>Graham</t>
  </si>
  <si>
    <t>Jesus</t>
  </si>
  <si>
    <t>Golden</t>
  </si>
  <si>
    <t>Ethel</t>
  </si>
  <si>
    <t>Nash</t>
  </si>
  <si>
    <t>Steven</t>
  </si>
  <si>
    <t>Nunez</t>
  </si>
  <si>
    <t>Rodolfo</t>
  </si>
  <si>
    <t>Li</t>
  </si>
  <si>
    <t>Bob</t>
  </si>
  <si>
    <t>Harvey</t>
  </si>
  <si>
    <t>Elisa</t>
  </si>
  <si>
    <t>Chan</t>
  </si>
  <si>
    <t>Sean</t>
  </si>
  <si>
    <t>Tate</t>
  </si>
  <si>
    <t>Pedro</t>
  </si>
  <si>
    <t>Frost</t>
  </si>
  <si>
    <t>Shannon</t>
  </si>
  <si>
    <t>Drew</t>
  </si>
  <si>
    <t>Lonnie</t>
  </si>
  <si>
    <t>Barton</t>
  </si>
  <si>
    <t>Ernie</t>
  </si>
  <si>
    <t>Chandler</t>
  </si>
  <si>
    <t>NM</t>
  </si>
  <si>
    <t>TX</t>
  </si>
  <si>
    <t>ID</t>
  </si>
  <si>
    <t>IA</t>
  </si>
  <si>
    <t>ND</t>
  </si>
  <si>
    <t>MT</t>
  </si>
  <si>
    <t>NV</t>
  </si>
  <si>
    <t>CA</t>
  </si>
  <si>
    <t>LA</t>
  </si>
  <si>
    <t>AZ</t>
  </si>
  <si>
    <t>OR</t>
  </si>
  <si>
    <t>UT</t>
  </si>
  <si>
    <t>WA</t>
  </si>
  <si>
    <t>{=Pay Rate * hours</t>
  </si>
  <si>
    <t>days Alotted - day used</t>
  </si>
  <si>
    <t>{=k2-H2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</si>
</sst>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4" fillId="3" borderId="3" applyNumberFormat="0" applyAlignment="0" applyProtection="0"/>
    <xf numFmtId="0" fontId="5" fillId="4" borderId="0" applyNumberFormat="0" applyBorder="0" applyAlignment="0" applyProtection="0"/>
    <xf numFmtId="0" fontId="1" fillId="5" borderId="0" applyNumberFormat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44" fontId="0" fillId="0" borderId="4" xfId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4" fillId="3" borderId="3" xfId="4"/>
    <xf numFmtId="1" fontId="0" fillId="6" borderId="4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1" xfId="2" applyAlignment="1">
      <alignment horizontal="center"/>
    </xf>
    <xf numFmtId="0" fontId="5" fillId="4" borderId="0" xfId="5"/>
    <xf numFmtId="0" fontId="5" fillId="4" borderId="0" xfId="5" applyAlignment="1">
      <alignment horizontal="center"/>
    </xf>
    <xf numFmtId="0" fontId="5" fillId="4" borderId="5" xfId="5" applyBorder="1"/>
    <xf numFmtId="0" fontId="5" fillId="4" borderId="6" xfId="5" applyBorder="1"/>
    <xf numFmtId="0" fontId="5" fillId="4" borderId="7" xfId="5" applyBorder="1"/>
    <xf numFmtId="0" fontId="0" fillId="0" borderId="8" xfId="0" applyBorder="1"/>
    <xf numFmtId="164" fontId="0" fillId="0" borderId="0" xfId="0" applyNumberFormat="1"/>
    <xf numFmtId="164" fontId="0" fillId="0" borderId="9" xfId="0" applyNumberFormat="1" applyBorder="1"/>
    <xf numFmtId="0" fontId="0" fillId="0" borderId="10" xfId="0" applyBorder="1"/>
    <xf numFmtId="164" fontId="0" fillId="0" borderId="11" xfId="0" applyNumberFormat="1" applyBorder="1"/>
    <xf numFmtId="164" fontId="0" fillId="0" borderId="12" xfId="0" applyNumberFormat="1" applyBorder="1"/>
    <xf numFmtId="164" fontId="6" fillId="0" borderId="0" xfId="0" applyNumberFormat="1" applyFont="1"/>
    <xf numFmtId="0" fontId="0" fillId="0" borderId="0" xfId="1" applyNumberFormat="1" applyFont="1" applyAlignment="1">
      <alignment horizontal="center"/>
    </xf>
    <xf numFmtId="44" fontId="0" fillId="6" borderId="0" xfId="1" applyFont="1" applyFill="1"/>
    <xf numFmtId="0" fontId="3" fillId="2" borderId="2" xfId="3" applyAlignment="1">
      <alignment horizontal="center"/>
    </xf>
    <xf numFmtId="0" fontId="5" fillId="4" borderId="4" xfId="5" applyBorder="1" applyAlignment="1">
      <alignment horizontal="center"/>
    </xf>
    <xf numFmtId="0" fontId="5" fillId="4" borderId="0" xfId="5" applyBorder="1" applyAlignment="1">
      <alignment horizontal="center"/>
    </xf>
    <xf numFmtId="0" fontId="3" fillId="2" borderId="2" xfId="3"/>
    <xf numFmtId="44" fontId="4" fillId="3" borderId="3" xfId="1" applyFont="1" applyFill="1" applyBorder="1"/>
    <xf numFmtId="44" fontId="0" fillId="0" borderId="4" xfId="1" applyFont="1" applyFill="1" applyBorder="1" applyAlignment="1">
      <alignment horizontal="center"/>
    </xf>
    <xf numFmtId="0" fontId="1" fillId="5" borderId="8" xfId="6" applyBorder="1" applyAlignment="1">
      <alignment horizontal="center"/>
    </xf>
    <xf numFmtId="0" fontId="2" fillId="0" borderId="1" xfId="2"/>
    <xf numFmtId="14" fontId="3" fillId="2" borderId="2" xfId="3" applyNumberFormat="1"/>
    <xf numFmtId="0" fontId="0" fillId="6" borderId="0" xfId="0" applyFill="1" applyAlignment="1">
      <alignment horizontal="center"/>
    </xf>
    <xf numFmtId="44" fontId="0" fillId="0" borderId="0" xfId="0" applyNumberFormat="1"/>
    <xf numFmtId="0" fontId="2" fillId="0" borderId="1" xfId="2" applyAlignment="1">
      <alignment horizontal="center"/>
    </xf>
    <xf numFmtId="0" fontId="2" fillId="0" borderId="1" xfId="2" applyAlignment="1">
      <alignment horizontal="center"/>
    </xf>
  </cellXfs>
  <cellStyles count="7">
    <cellStyle name="60% - Accent1" xfId="6" builtinId="32"/>
    <cellStyle name="Accent1" xfId="5" builtinId="29"/>
    <cellStyle name="Currency" xfId="1" builtinId="4"/>
    <cellStyle name="Heading 1" xfId="2" builtinId="16"/>
    <cellStyle name="Input" xfId="3" builtinId="20"/>
    <cellStyle name="Normal" xfId="0" builtinId="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16192</xdr:colOff>
      <xdr:row>3</xdr:row>
      <xdr:rowOff>32384</xdr:rowOff>
    </xdr:from>
    <xdr:to>
      <xdr:col>13</xdr:col>
      <xdr:colOff>670560</xdr:colOff>
      <xdr:row>7</xdr:row>
      <xdr:rowOff>130491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C4A474E3-5AE9-84F1-6B9D-431A9EA03FDF}"/>
            </a:ext>
          </a:extLst>
        </xdr:cNvPr>
        <xdr:cNvSpPr txBox="1"/>
      </xdr:nvSpPr>
      <xdr:spPr>
        <a:xfrm>
          <a:off x="10059352" y="687704"/>
          <a:ext cx="1545908" cy="890587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Text To Columns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Flash Fill</a:t>
          </a:r>
          <a:endParaRPr lang="en-US" sz="1400">
            <a:effectLst/>
          </a:endParaRPr>
        </a:p>
        <a:p>
          <a:r>
            <a:rPr lang="en-US" sz="1400"/>
            <a:t>Today fx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9523</xdr:colOff>
      <xdr:row>3</xdr:row>
      <xdr:rowOff>31431</xdr:rowOff>
    </xdr:from>
    <xdr:to>
      <xdr:col>12</xdr:col>
      <xdr:colOff>495300</xdr:colOff>
      <xdr:row>7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EF2B827F-D32D-087A-E27C-0783537763F0}"/>
            </a:ext>
          </a:extLst>
        </xdr:cNvPr>
        <xdr:cNvSpPr txBox="1"/>
      </xdr:nvSpPr>
      <xdr:spPr>
        <a:xfrm>
          <a:off x="8902063" y="686751"/>
          <a:ext cx="2055497" cy="791529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Calculate Gross Pay</a:t>
          </a:r>
        </a:p>
        <a:p>
          <a:r>
            <a:rPr lang="en-US" sz="1200"/>
            <a:t>Calculate Days Remaining</a:t>
          </a:r>
        </a:p>
        <a:p>
          <a:r>
            <a:rPr lang="en-US" sz="1200"/>
            <a:t>Use a Form For Data Entry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</xdr:colOff>
      <xdr:row>12</xdr:row>
      <xdr:rowOff>0</xdr:rowOff>
    </xdr:from>
    <xdr:to>
      <xdr:col>7</xdr:col>
      <xdr:colOff>1022985</xdr:colOff>
      <xdr:row>16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B1CF7AE8-1551-A306-79B6-D2257DED1E6E}"/>
            </a:ext>
          </a:extLst>
        </xdr:cNvPr>
        <xdr:cNvSpPr txBox="1"/>
      </xdr:nvSpPr>
      <xdr:spPr>
        <a:xfrm>
          <a:off x="6491287" y="2377440"/>
          <a:ext cx="1686878" cy="90678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Naming Ranges</a:t>
          </a:r>
        </a:p>
        <a:p>
          <a:r>
            <a:rPr lang="en-US" sz="1200"/>
            <a:t>Countif()</a:t>
          </a:r>
        </a:p>
        <a:p>
          <a:r>
            <a:rPr lang="en-US" sz="1200"/>
            <a:t>Sumif()</a:t>
          </a:r>
        </a:p>
        <a:p>
          <a:r>
            <a:rPr lang="en-US" sz="1200"/>
            <a:t>Averageif()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</xdr:colOff>
      <xdr:row>1</xdr:row>
      <xdr:rowOff>14287</xdr:rowOff>
    </xdr:from>
    <xdr:to>
      <xdr:col>12</xdr:col>
      <xdr:colOff>39052</xdr:colOff>
      <xdr:row>6</xdr:row>
      <xdr:rowOff>43815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AD663167-F488-5AC9-331E-16DD60899344}"/>
            </a:ext>
          </a:extLst>
        </xdr:cNvPr>
        <xdr:cNvSpPr txBox="1"/>
      </xdr:nvSpPr>
      <xdr:spPr>
        <a:xfrm>
          <a:off x="6864667" y="212407"/>
          <a:ext cx="1403985" cy="1020128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Charts</a:t>
          </a:r>
        </a:p>
        <a:p>
          <a:r>
            <a:rPr lang="en-US" sz="1200" b="1"/>
            <a:t>Sparklines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228600</xdr:rowOff>
    </xdr:from>
    <xdr:to>
      <xdr:col>10</xdr:col>
      <xdr:colOff>457200</xdr:colOff>
      <xdr:row>5</xdr:row>
      <xdr:rowOff>100964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6965668A-4D0D-16C7-8BB4-85CF5070FABC}"/>
            </a:ext>
          </a:extLst>
        </xdr:cNvPr>
        <xdr:cNvSpPr txBox="1"/>
      </xdr:nvSpPr>
      <xdr:spPr>
        <a:xfrm>
          <a:off x="7086600" y="228600"/>
          <a:ext cx="1828800" cy="923924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Consolidate 3 worksheets into a single report with the Consolidation tool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M52"/>
  <sheetViews>
    <sheetView workbookViewId="0">
      <selection sqref="A1:J1"/>
    </sheetView>
  </sheetViews>
  <sheetFormatPr defaultRowHeight="15"/>
  <cols>
    <col min="1" max="1" width="6.88671875" style="2" bestFit="1" customWidth="1"/>
    <col min="2" max="2" width="16.6640625" style="2" customWidth="1"/>
    <col min="3" max="3" width="10.88671875" style="2" customWidth="1"/>
    <col min="4" max="4" width="10.6640625" style="2" customWidth="1"/>
    <col min="5" max="5" width="15.6640625" style="2" bestFit="1" customWidth="1"/>
    <col min="6" max="6" width="6.44140625" style="2" bestFit="1" customWidth="1"/>
    <col min="7" max="7" width="10.77734375" style="2" bestFit="1" customWidth="1"/>
    <col min="8" max="8" width="19" style="2" bestFit="1" customWidth="1"/>
    <col min="9" max="9" width="10" style="2" bestFit="1" customWidth="1"/>
    <col min="10" max="10" width="7.21875" style="2" bestFit="1" customWidth="1"/>
    <col min="13" max="13" width="11.77734375" bestFit="1" customWidth="1"/>
    <col min="20" max="20" width="15.6640625" bestFit="1" customWidth="1"/>
  </cols>
  <sheetData>
    <row r="1" spans="1:13" ht="20.25" thickBo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80</v>
      </c>
      <c r="F1" s="11" t="s">
        <v>81</v>
      </c>
      <c r="G1" s="11" t="s">
        <v>5</v>
      </c>
      <c r="H1" s="11" t="s">
        <v>9</v>
      </c>
      <c r="I1" s="11" t="s">
        <v>6</v>
      </c>
      <c r="J1" s="11" t="s">
        <v>7</v>
      </c>
      <c r="M1" s="28" t="s">
        <v>8</v>
      </c>
    </row>
    <row r="2" spans="1:13" ht="15.75" thickTop="1">
      <c r="A2" s="3">
        <v>731</v>
      </c>
      <c r="B2" s="3" t="s">
        <v>10</v>
      </c>
      <c r="C2" s="7" t="s">
        <v>111</v>
      </c>
      <c r="D2" s="7" t="s">
        <v>112</v>
      </c>
      <c r="E2" s="3" t="s">
        <v>73</v>
      </c>
      <c r="F2" s="7" t="s">
        <v>210</v>
      </c>
      <c r="G2" s="4">
        <v>44167.207205993844</v>
      </c>
      <c r="H2" s="9">
        <f ca="1">M2-G2</f>
        <v>1791.7927940061563</v>
      </c>
      <c r="I2" s="5">
        <v>26.582563460292626</v>
      </c>
      <c r="J2" s="6">
        <v>25.07793449759528</v>
      </c>
      <c r="K2" s="1"/>
      <c r="M2" s="34">
        <f ca="1">TODAY()</f>
        <v>45959</v>
      </c>
    </row>
    <row r="3" spans="1:13">
      <c r="A3" s="3">
        <v>781</v>
      </c>
      <c r="B3" s="3" t="s">
        <v>11</v>
      </c>
      <c r="C3" s="7" t="s">
        <v>113</v>
      </c>
      <c r="D3" s="7" t="s">
        <v>114</v>
      </c>
      <c r="E3" s="3" t="s">
        <v>69</v>
      </c>
      <c r="F3" s="7" t="s">
        <v>211</v>
      </c>
      <c r="G3" s="4">
        <v>44223.014975239028</v>
      </c>
      <c r="H3" s="9"/>
      <c r="I3" s="5">
        <v>31.21293462426479</v>
      </c>
      <c r="J3" s="6">
        <v>35.159650022683792</v>
      </c>
    </row>
    <row r="4" spans="1:13">
      <c r="A4" s="3">
        <v>771</v>
      </c>
      <c r="B4" s="3" t="s">
        <v>12</v>
      </c>
      <c r="C4" s="7" t="s">
        <v>115</v>
      </c>
      <c r="D4" s="7" t="s">
        <v>116</v>
      </c>
      <c r="E4" s="3" t="s">
        <v>75</v>
      </c>
      <c r="F4" s="7" t="s">
        <v>212</v>
      </c>
      <c r="G4" s="4">
        <v>43663.066376366958</v>
      </c>
      <c r="H4" s="9"/>
      <c r="I4" s="5">
        <v>33.445802454765435</v>
      </c>
      <c r="J4" s="6">
        <v>37.495359252405187</v>
      </c>
    </row>
    <row r="5" spans="1:13">
      <c r="A5" s="3">
        <v>702</v>
      </c>
      <c r="B5" s="3" t="s">
        <v>13</v>
      </c>
      <c r="C5" s="7" t="s">
        <v>117</v>
      </c>
      <c r="D5" s="7" t="s">
        <v>118</v>
      </c>
      <c r="E5" s="3" t="s">
        <v>65</v>
      </c>
      <c r="F5" s="7" t="s">
        <v>211</v>
      </c>
      <c r="G5" s="4">
        <v>42236.614176307186</v>
      </c>
      <c r="H5" s="9"/>
      <c r="I5" s="5">
        <v>34.21501652453059</v>
      </c>
      <c r="J5" s="6">
        <v>26.934531148271134</v>
      </c>
    </row>
    <row r="6" spans="1:13">
      <c r="A6" s="3">
        <v>777</v>
      </c>
      <c r="B6" s="3" t="s">
        <v>14</v>
      </c>
      <c r="C6" s="7" t="s">
        <v>119</v>
      </c>
      <c r="D6" s="7" t="s">
        <v>120</v>
      </c>
      <c r="E6" s="3" t="s">
        <v>77</v>
      </c>
      <c r="F6" s="7" t="s">
        <v>213</v>
      </c>
      <c r="G6" s="4">
        <v>43791.902610858851</v>
      </c>
      <c r="H6" s="9"/>
      <c r="I6" s="5">
        <v>39.806845012796202</v>
      </c>
      <c r="J6" s="6">
        <v>22.842243779196053</v>
      </c>
    </row>
    <row r="7" spans="1:13">
      <c r="A7" s="3">
        <v>721</v>
      </c>
      <c r="B7" s="3" t="s">
        <v>15</v>
      </c>
      <c r="C7" s="7" t="s">
        <v>121</v>
      </c>
      <c r="D7" s="7" t="s">
        <v>122</v>
      </c>
      <c r="E7" s="3" t="s">
        <v>76</v>
      </c>
      <c r="F7" s="7" t="s">
        <v>214</v>
      </c>
      <c r="G7" s="4">
        <v>41896.702941161122</v>
      </c>
      <c r="H7" s="9"/>
      <c r="I7" s="5">
        <v>26.917505930064422</v>
      </c>
      <c r="J7" s="6">
        <v>36.042559781694685</v>
      </c>
    </row>
    <row r="8" spans="1:13">
      <c r="A8" s="3">
        <v>737</v>
      </c>
      <c r="B8" s="3" t="s">
        <v>16</v>
      </c>
      <c r="C8" s="7" t="s">
        <v>123</v>
      </c>
      <c r="D8" s="7" t="s">
        <v>124</v>
      </c>
      <c r="E8" s="3" t="s">
        <v>78</v>
      </c>
      <c r="F8" s="7" t="s">
        <v>215</v>
      </c>
      <c r="G8" s="4">
        <v>42957.250465946068</v>
      </c>
      <c r="H8" s="9"/>
      <c r="I8" s="5">
        <v>25.700826456269397</v>
      </c>
      <c r="J8" s="6">
        <v>36.277769698551708</v>
      </c>
    </row>
    <row r="9" spans="1:13">
      <c r="A9" s="3">
        <v>711</v>
      </c>
      <c r="B9" s="3" t="s">
        <v>17</v>
      </c>
      <c r="C9" s="7" t="s">
        <v>125</v>
      </c>
      <c r="D9" s="7" t="s">
        <v>126</v>
      </c>
      <c r="E9" s="3" t="s">
        <v>62</v>
      </c>
      <c r="F9" s="7" t="s">
        <v>211</v>
      </c>
      <c r="G9" s="4">
        <v>43050.698662822397</v>
      </c>
      <c r="H9" s="9"/>
      <c r="I9" s="5">
        <v>26.660820974835211</v>
      </c>
      <c r="J9" s="6">
        <v>23.540537390209309</v>
      </c>
    </row>
    <row r="10" spans="1:13">
      <c r="A10" s="3">
        <v>788</v>
      </c>
      <c r="B10" s="3" t="s">
        <v>18</v>
      </c>
      <c r="C10" s="7" t="s">
        <v>127</v>
      </c>
      <c r="D10" s="7" t="s">
        <v>128</v>
      </c>
      <c r="E10" s="3" t="s">
        <v>70</v>
      </c>
      <c r="F10" s="7" t="s">
        <v>216</v>
      </c>
      <c r="G10" s="4">
        <v>42734.622616901208</v>
      </c>
      <c r="H10" s="9"/>
      <c r="I10" s="5">
        <v>31.514482748430645</v>
      </c>
      <c r="J10" s="6">
        <v>30.590717378723738</v>
      </c>
    </row>
    <row r="11" spans="1:13">
      <c r="A11" s="3">
        <v>735</v>
      </c>
      <c r="B11" s="3" t="s">
        <v>19</v>
      </c>
      <c r="C11" s="7" t="s">
        <v>129</v>
      </c>
      <c r="D11" s="7" t="s">
        <v>130</v>
      </c>
      <c r="E11" s="3" t="s">
        <v>61</v>
      </c>
      <c r="F11" s="7" t="s">
        <v>217</v>
      </c>
      <c r="G11" s="4">
        <v>43973.803999472337</v>
      </c>
      <c r="H11" s="9"/>
      <c r="I11" s="5">
        <v>27.213857121681308</v>
      </c>
      <c r="J11" s="6">
        <v>26.517452207227834</v>
      </c>
      <c r="M11" s="1"/>
    </row>
    <row r="12" spans="1:13">
      <c r="A12" s="3">
        <v>741</v>
      </c>
      <c r="B12" s="3" t="s">
        <v>20</v>
      </c>
      <c r="C12" s="7" t="s">
        <v>131</v>
      </c>
      <c r="D12" s="7" t="s">
        <v>132</v>
      </c>
      <c r="E12" s="3" t="s">
        <v>71</v>
      </c>
      <c r="F12" s="7" t="s">
        <v>218</v>
      </c>
      <c r="G12" s="4">
        <v>45091.124344444826</v>
      </c>
      <c r="H12" s="9"/>
      <c r="I12" s="5">
        <v>28.489241245772973</v>
      </c>
      <c r="J12" s="6">
        <v>35.808734831614323</v>
      </c>
    </row>
    <row r="13" spans="1:13">
      <c r="A13" s="3">
        <v>706</v>
      </c>
      <c r="B13" s="3" t="s">
        <v>21</v>
      </c>
      <c r="C13" s="7" t="s">
        <v>133</v>
      </c>
      <c r="D13" s="7" t="s">
        <v>134</v>
      </c>
      <c r="E13" s="3" t="s">
        <v>66</v>
      </c>
      <c r="F13" s="7" t="s">
        <v>219</v>
      </c>
      <c r="G13" s="4">
        <v>43096.540722769329</v>
      </c>
      <c r="H13" s="9"/>
      <c r="I13" s="5">
        <v>37.736434997203943</v>
      </c>
      <c r="J13" s="6">
        <v>39.981703302737984</v>
      </c>
    </row>
    <row r="14" spans="1:13">
      <c r="A14" s="3">
        <v>798</v>
      </c>
      <c r="B14" s="3" t="s">
        <v>22</v>
      </c>
      <c r="C14" s="7" t="s">
        <v>135</v>
      </c>
      <c r="D14" s="7" t="s">
        <v>136</v>
      </c>
      <c r="E14" s="3" t="s">
        <v>67</v>
      </c>
      <c r="F14" s="7" t="s">
        <v>220</v>
      </c>
      <c r="G14" s="4">
        <v>44835.32386619586</v>
      </c>
      <c r="H14" s="9"/>
      <c r="I14" s="5">
        <v>35.293069839071713</v>
      </c>
      <c r="J14" s="6">
        <v>24.630726342036226</v>
      </c>
    </row>
    <row r="15" spans="1:13">
      <c r="A15" s="3">
        <v>751</v>
      </c>
      <c r="B15" s="3" t="s">
        <v>23</v>
      </c>
      <c r="C15" s="7" t="s">
        <v>137</v>
      </c>
      <c r="D15" s="7" t="s">
        <v>138</v>
      </c>
      <c r="E15" s="3" t="s">
        <v>74</v>
      </c>
      <c r="F15" s="7" t="s">
        <v>217</v>
      </c>
      <c r="G15" s="4">
        <v>42551.59846599937</v>
      </c>
      <c r="H15" s="9"/>
      <c r="I15" s="5">
        <v>26.394071582721132</v>
      </c>
      <c r="J15" s="6">
        <v>31.942487063120431</v>
      </c>
    </row>
    <row r="16" spans="1:13">
      <c r="A16" s="3">
        <v>756</v>
      </c>
      <c r="B16" s="3" t="s">
        <v>24</v>
      </c>
      <c r="C16" s="7" t="s">
        <v>139</v>
      </c>
      <c r="D16" s="7" t="s">
        <v>140</v>
      </c>
      <c r="E16" s="3" t="s">
        <v>79</v>
      </c>
      <c r="F16" s="7" t="s">
        <v>220</v>
      </c>
      <c r="G16" s="4">
        <v>43174.53206767152</v>
      </c>
      <c r="H16" s="9"/>
      <c r="I16" s="5">
        <v>39.903076288743073</v>
      </c>
      <c r="J16" s="6">
        <v>35.997824788060065</v>
      </c>
    </row>
    <row r="17" spans="1:10">
      <c r="A17" s="3">
        <v>791</v>
      </c>
      <c r="B17" s="3" t="s">
        <v>25</v>
      </c>
      <c r="C17" s="7" t="s">
        <v>141</v>
      </c>
      <c r="D17" s="7" t="s">
        <v>142</v>
      </c>
      <c r="E17" s="3" t="s">
        <v>72</v>
      </c>
      <c r="F17" s="7" t="s">
        <v>221</v>
      </c>
      <c r="G17" s="4">
        <v>42331.820845291331</v>
      </c>
      <c r="H17" s="9"/>
      <c r="I17" s="5">
        <v>31.265013619538045</v>
      </c>
      <c r="J17" s="6">
        <v>39.517299833019564</v>
      </c>
    </row>
    <row r="18" spans="1:10">
      <c r="A18" s="3">
        <v>744</v>
      </c>
      <c r="B18" s="3" t="s">
        <v>26</v>
      </c>
      <c r="C18" s="7" t="s">
        <v>143</v>
      </c>
      <c r="D18" s="7" t="s">
        <v>144</v>
      </c>
      <c r="E18" s="3" t="s">
        <v>68</v>
      </c>
      <c r="F18" s="7" t="s">
        <v>217</v>
      </c>
      <c r="G18" s="4">
        <v>43919.292773794274</v>
      </c>
      <c r="H18" s="9"/>
      <c r="I18" s="5">
        <v>24.631684099159749</v>
      </c>
      <c r="J18" s="6">
        <v>25.059291588256919</v>
      </c>
    </row>
    <row r="19" spans="1:10">
      <c r="A19" s="3">
        <v>736</v>
      </c>
      <c r="B19" s="3" t="s">
        <v>27</v>
      </c>
      <c r="C19" s="7" t="s">
        <v>145</v>
      </c>
      <c r="D19" s="7" t="s">
        <v>146</v>
      </c>
      <c r="E19" s="3" t="s">
        <v>64</v>
      </c>
      <c r="F19" s="7" t="s">
        <v>217</v>
      </c>
      <c r="G19" s="4">
        <v>42588.529748372224</v>
      </c>
      <c r="H19" s="9"/>
      <c r="I19" s="5">
        <v>26.639908683416962</v>
      </c>
      <c r="J19" s="6">
        <v>39.79958928551406</v>
      </c>
    </row>
    <row r="20" spans="1:10">
      <c r="A20" s="3">
        <v>743</v>
      </c>
      <c r="B20" s="3" t="s">
        <v>28</v>
      </c>
      <c r="C20" s="7" t="s">
        <v>147</v>
      </c>
      <c r="D20" s="7" t="s">
        <v>148</v>
      </c>
      <c r="E20" s="3" t="s">
        <v>63</v>
      </c>
      <c r="F20" s="7" t="s">
        <v>222</v>
      </c>
      <c r="G20" s="4">
        <v>44328.98446837614</v>
      </c>
      <c r="H20" s="9"/>
      <c r="I20" s="5">
        <v>27.861077042566414</v>
      </c>
      <c r="J20" s="6">
        <v>34.027083928833065</v>
      </c>
    </row>
    <row r="21" spans="1:10">
      <c r="A21" s="3">
        <v>766</v>
      </c>
      <c r="B21" s="3" t="s">
        <v>29</v>
      </c>
      <c r="C21" s="7" t="s">
        <v>149</v>
      </c>
      <c r="D21" s="7" t="s">
        <v>150</v>
      </c>
      <c r="E21" s="3" t="s">
        <v>77</v>
      </c>
      <c r="F21" s="7" t="s">
        <v>213</v>
      </c>
      <c r="G21" s="4">
        <v>42722.871131833126</v>
      </c>
      <c r="H21" s="9"/>
      <c r="I21" s="5">
        <v>30.099256898627551</v>
      </c>
      <c r="J21" s="6">
        <v>37.606994757270762</v>
      </c>
    </row>
    <row r="22" spans="1:10">
      <c r="A22" s="3">
        <v>772</v>
      </c>
      <c r="B22" s="3" t="s">
        <v>30</v>
      </c>
      <c r="C22" s="7" t="s">
        <v>151</v>
      </c>
      <c r="D22" s="7" t="s">
        <v>152</v>
      </c>
      <c r="E22" s="3" t="s">
        <v>76</v>
      </c>
      <c r="F22" s="7" t="s">
        <v>214</v>
      </c>
      <c r="G22" s="4">
        <v>42239.959898583453</v>
      </c>
      <c r="H22" s="9"/>
      <c r="I22" s="5">
        <v>38.619056402535286</v>
      </c>
      <c r="J22" s="6">
        <v>28.732095190962873</v>
      </c>
    </row>
    <row r="23" spans="1:10">
      <c r="A23" s="3">
        <v>751</v>
      </c>
      <c r="B23" s="3" t="s">
        <v>31</v>
      </c>
      <c r="C23" s="7" t="s">
        <v>153</v>
      </c>
      <c r="D23" s="7" t="s">
        <v>154</v>
      </c>
      <c r="E23" s="3" t="s">
        <v>78</v>
      </c>
      <c r="F23" s="7" t="s">
        <v>215</v>
      </c>
      <c r="G23" s="4">
        <v>45108.571934108644</v>
      </c>
      <c r="H23" s="9"/>
      <c r="I23" s="5">
        <v>34.420448563831357</v>
      </c>
      <c r="J23" s="6">
        <v>30.881529326539145</v>
      </c>
    </row>
    <row r="24" spans="1:10">
      <c r="A24" s="3">
        <v>721</v>
      </c>
      <c r="B24" s="3" t="s">
        <v>32</v>
      </c>
      <c r="C24" s="7" t="s">
        <v>146</v>
      </c>
      <c r="D24" s="7" t="s">
        <v>155</v>
      </c>
      <c r="E24" s="3" t="s">
        <v>74</v>
      </c>
      <c r="F24" s="7" t="s">
        <v>217</v>
      </c>
      <c r="G24" s="4">
        <v>44426.709149555398</v>
      </c>
      <c r="H24" s="9"/>
      <c r="I24" s="5">
        <v>30.124557747982166</v>
      </c>
      <c r="J24" s="6">
        <v>35.592738672079726</v>
      </c>
    </row>
    <row r="25" spans="1:10">
      <c r="A25" s="3">
        <v>785</v>
      </c>
      <c r="B25" s="3" t="s">
        <v>33</v>
      </c>
      <c r="C25" s="7" t="s">
        <v>156</v>
      </c>
      <c r="D25" s="7" t="s">
        <v>157</v>
      </c>
      <c r="E25" s="3" t="s">
        <v>79</v>
      </c>
      <c r="F25" s="7" t="s">
        <v>220</v>
      </c>
      <c r="G25" s="4">
        <v>42798.665655661818</v>
      </c>
      <c r="H25" s="9"/>
      <c r="I25" s="5">
        <v>34.711377833893671</v>
      </c>
      <c r="J25" s="6">
        <v>21.516780736684936</v>
      </c>
    </row>
    <row r="26" spans="1:10">
      <c r="A26" s="3">
        <v>724</v>
      </c>
      <c r="B26" s="3" t="s">
        <v>34</v>
      </c>
      <c r="C26" s="7" t="s">
        <v>158</v>
      </c>
      <c r="D26" s="7" t="s">
        <v>159</v>
      </c>
      <c r="E26" s="3" t="s">
        <v>72</v>
      </c>
      <c r="F26" s="7" t="s">
        <v>221</v>
      </c>
      <c r="G26" s="4">
        <v>44622.370879935777</v>
      </c>
      <c r="H26" s="9"/>
      <c r="I26" s="5">
        <v>26.130294812962653</v>
      </c>
      <c r="J26" s="6">
        <v>26.553947442073373</v>
      </c>
    </row>
    <row r="27" spans="1:10">
      <c r="A27" s="3">
        <v>792</v>
      </c>
      <c r="B27" s="3" t="s">
        <v>35</v>
      </c>
      <c r="C27" s="7" t="s">
        <v>160</v>
      </c>
      <c r="D27" s="7" t="s">
        <v>161</v>
      </c>
      <c r="E27" s="3" t="s">
        <v>68</v>
      </c>
      <c r="F27" s="7" t="s">
        <v>217</v>
      </c>
      <c r="G27" s="4">
        <v>43457.9235212473</v>
      </c>
      <c r="H27" s="9"/>
      <c r="I27" s="5">
        <v>35.782258518364181</v>
      </c>
      <c r="J27" s="6">
        <v>37.153992486013799</v>
      </c>
    </row>
    <row r="28" spans="1:10">
      <c r="A28" s="3">
        <v>759</v>
      </c>
      <c r="B28" s="3" t="s">
        <v>36</v>
      </c>
      <c r="C28" s="7" t="s">
        <v>162</v>
      </c>
      <c r="D28" s="7" t="s">
        <v>163</v>
      </c>
      <c r="E28" s="3" t="s">
        <v>64</v>
      </c>
      <c r="F28" s="7" t="s">
        <v>217</v>
      </c>
      <c r="G28" s="4">
        <v>44523.818447218218</v>
      </c>
      <c r="H28" s="9"/>
      <c r="I28" s="5">
        <v>38.897068844353498</v>
      </c>
      <c r="J28" s="6">
        <v>33.575234724702689</v>
      </c>
    </row>
    <row r="29" spans="1:10">
      <c r="A29" s="3">
        <v>704</v>
      </c>
      <c r="B29" s="3" t="s">
        <v>37</v>
      </c>
      <c r="C29" s="7" t="s">
        <v>164</v>
      </c>
      <c r="D29" s="7" t="s">
        <v>165</v>
      </c>
      <c r="E29" s="3" t="s">
        <v>63</v>
      </c>
      <c r="F29" s="7" t="s">
        <v>222</v>
      </c>
      <c r="G29" s="4">
        <v>42085.294022578542</v>
      </c>
      <c r="H29" s="9"/>
      <c r="I29" s="5">
        <v>23.413403242668906</v>
      </c>
      <c r="J29" s="6">
        <v>25.343936875161219</v>
      </c>
    </row>
    <row r="30" spans="1:10">
      <c r="A30" s="3">
        <v>776</v>
      </c>
      <c r="B30" s="3" t="s">
        <v>38</v>
      </c>
      <c r="C30" s="7" t="s">
        <v>166</v>
      </c>
      <c r="D30" s="7" t="s">
        <v>167</v>
      </c>
      <c r="E30" s="3" t="s">
        <v>77</v>
      </c>
      <c r="F30" s="7" t="s">
        <v>213</v>
      </c>
      <c r="G30" s="4">
        <v>42368.530478862376</v>
      </c>
      <c r="H30" s="9"/>
      <c r="I30" s="5">
        <v>30.034484061423591</v>
      </c>
      <c r="J30" s="6">
        <v>29.319274473404661</v>
      </c>
    </row>
    <row r="31" spans="1:10">
      <c r="A31" s="3">
        <v>716</v>
      </c>
      <c r="B31" s="3" t="s">
        <v>39</v>
      </c>
      <c r="C31" s="7" t="s">
        <v>168</v>
      </c>
      <c r="D31" s="7" t="s">
        <v>169</v>
      </c>
      <c r="E31" s="3" t="s">
        <v>76</v>
      </c>
      <c r="F31" s="7" t="s">
        <v>214</v>
      </c>
      <c r="G31" s="4">
        <v>42701.126930425431</v>
      </c>
      <c r="H31" s="9"/>
      <c r="I31" s="5">
        <v>25.309543015369165</v>
      </c>
      <c r="J31" s="6">
        <v>22.67783157792703</v>
      </c>
    </row>
    <row r="32" spans="1:10">
      <c r="A32" s="3">
        <v>788</v>
      </c>
      <c r="B32" s="3" t="s">
        <v>40</v>
      </c>
      <c r="C32" s="7" t="s">
        <v>170</v>
      </c>
      <c r="D32" s="7" t="s">
        <v>171</v>
      </c>
      <c r="E32" s="3" t="s">
        <v>78</v>
      </c>
      <c r="F32" s="7" t="s">
        <v>215</v>
      </c>
      <c r="G32" s="4">
        <v>43356.868124677014</v>
      </c>
      <c r="H32" s="9"/>
      <c r="I32" s="5">
        <v>35.752986201235295</v>
      </c>
      <c r="J32" s="6">
        <v>21.177756761511475</v>
      </c>
    </row>
    <row r="33" spans="1:10">
      <c r="A33" s="3">
        <v>749</v>
      </c>
      <c r="B33" s="3" t="s">
        <v>41</v>
      </c>
      <c r="C33" s="7" t="s">
        <v>172</v>
      </c>
      <c r="D33" s="7" t="s">
        <v>173</v>
      </c>
      <c r="E33" s="3" t="s">
        <v>75</v>
      </c>
      <c r="F33" s="7" t="s">
        <v>212</v>
      </c>
      <c r="G33" s="4">
        <v>43755.465285879822</v>
      </c>
      <c r="H33" s="9"/>
      <c r="I33" s="5">
        <v>30.721256007990682</v>
      </c>
      <c r="J33" s="6">
        <v>25.712852589312803</v>
      </c>
    </row>
    <row r="34" spans="1:10">
      <c r="A34" s="3">
        <v>758</v>
      </c>
      <c r="B34" s="3" t="s">
        <v>42</v>
      </c>
      <c r="C34" s="7" t="s">
        <v>174</v>
      </c>
      <c r="D34" s="7" t="s">
        <v>175</v>
      </c>
      <c r="E34" s="3" t="s">
        <v>65</v>
      </c>
      <c r="F34" s="7" t="s">
        <v>211</v>
      </c>
      <c r="G34" s="4">
        <v>45017.39192292087</v>
      </c>
      <c r="H34" s="9"/>
      <c r="I34" s="5">
        <v>33.035464033388372</v>
      </c>
      <c r="J34" s="6">
        <v>28.431434900827277</v>
      </c>
    </row>
    <row r="35" spans="1:10">
      <c r="A35" s="3">
        <v>735</v>
      </c>
      <c r="B35" s="3" t="s">
        <v>43</v>
      </c>
      <c r="C35" s="7" t="s">
        <v>176</v>
      </c>
      <c r="D35" s="7" t="s">
        <v>177</v>
      </c>
      <c r="E35" s="3" t="s">
        <v>77</v>
      </c>
      <c r="F35" s="7" t="s">
        <v>213</v>
      </c>
      <c r="G35" s="4">
        <v>42226.267940830629</v>
      </c>
      <c r="H35" s="9"/>
      <c r="I35" s="5">
        <v>30.798148022931784</v>
      </c>
      <c r="J35" s="6">
        <v>28.43479819541038</v>
      </c>
    </row>
    <row r="36" spans="1:10">
      <c r="A36" s="3">
        <v>715</v>
      </c>
      <c r="B36" s="3" t="s">
        <v>44</v>
      </c>
      <c r="C36" s="7" t="s">
        <v>178</v>
      </c>
      <c r="D36" s="7" t="s">
        <v>179</v>
      </c>
      <c r="E36" s="3" t="s">
        <v>76</v>
      </c>
      <c r="F36" s="7" t="s">
        <v>214</v>
      </c>
      <c r="G36" s="4">
        <v>41975.553172036125</v>
      </c>
      <c r="H36" s="9"/>
      <c r="I36" s="5">
        <v>32.753529741025282</v>
      </c>
      <c r="J36" s="6">
        <v>20.056161259455173</v>
      </c>
    </row>
    <row r="37" spans="1:10">
      <c r="A37" s="3">
        <v>795</v>
      </c>
      <c r="B37" s="3" t="s">
        <v>45</v>
      </c>
      <c r="C37" s="7" t="s">
        <v>180</v>
      </c>
      <c r="D37" s="7" t="s">
        <v>181</v>
      </c>
      <c r="E37" s="3" t="s">
        <v>78</v>
      </c>
      <c r="F37" s="7" t="s">
        <v>215</v>
      </c>
      <c r="G37" s="4">
        <v>44416.148553936902</v>
      </c>
      <c r="H37" s="9"/>
      <c r="I37" s="5">
        <v>20.430351599124322</v>
      </c>
      <c r="J37" s="6">
        <v>27.017363211406057</v>
      </c>
    </row>
    <row r="38" spans="1:10">
      <c r="A38" s="3">
        <v>777</v>
      </c>
      <c r="B38" s="3" t="s">
        <v>46</v>
      </c>
      <c r="C38" s="7" t="s">
        <v>182</v>
      </c>
      <c r="D38" s="7" t="s">
        <v>183</v>
      </c>
      <c r="E38" s="3" t="s">
        <v>62</v>
      </c>
      <c r="F38" s="7" t="s">
        <v>211</v>
      </c>
      <c r="G38" s="4">
        <v>43361.494526277937</v>
      </c>
      <c r="H38" s="9"/>
      <c r="I38" s="5">
        <v>35.206954966143577</v>
      </c>
      <c r="J38" s="6">
        <v>29.171149447201202</v>
      </c>
    </row>
    <row r="39" spans="1:10">
      <c r="A39" s="3">
        <v>714</v>
      </c>
      <c r="B39" s="3" t="s">
        <v>47</v>
      </c>
      <c r="C39" s="7" t="s">
        <v>184</v>
      </c>
      <c r="D39" s="7" t="s">
        <v>185</v>
      </c>
      <c r="E39" s="3" t="s">
        <v>70</v>
      </c>
      <c r="F39" s="7" t="s">
        <v>216</v>
      </c>
      <c r="G39" s="4">
        <v>42406.535908922859</v>
      </c>
      <c r="H39" s="9"/>
      <c r="I39" s="5">
        <v>31.783898546839154</v>
      </c>
      <c r="J39" s="6">
        <v>35.756855686847921</v>
      </c>
    </row>
    <row r="40" spans="1:10">
      <c r="A40" s="3">
        <v>729</v>
      </c>
      <c r="B40" s="3" t="s">
        <v>48</v>
      </c>
      <c r="C40" s="7" t="s">
        <v>186</v>
      </c>
      <c r="D40" s="7" t="s">
        <v>187</v>
      </c>
      <c r="E40" s="3" t="s">
        <v>61</v>
      </c>
      <c r="F40" s="7" t="s">
        <v>217</v>
      </c>
      <c r="G40" s="4">
        <v>43512.894853852915</v>
      </c>
      <c r="H40" s="9"/>
      <c r="I40" s="5">
        <v>25.353789842127156</v>
      </c>
      <c r="J40" s="6">
        <v>27.145119228238222</v>
      </c>
    </row>
    <row r="41" spans="1:10">
      <c r="A41" s="3">
        <v>758</v>
      </c>
      <c r="B41" s="3" t="s">
        <v>49</v>
      </c>
      <c r="C41" s="7" t="s">
        <v>188</v>
      </c>
      <c r="D41" s="7" t="s">
        <v>189</v>
      </c>
      <c r="E41" s="3" t="s">
        <v>71</v>
      </c>
      <c r="F41" s="7" t="s">
        <v>218</v>
      </c>
      <c r="G41" s="4">
        <v>45098.763872342628</v>
      </c>
      <c r="H41" s="9"/>
      <c r="I41" s="5">
        <v>36.44303308908011</v>
      </c>
      <c r="J41" s="6">
        <v>26.886464070545003</v>
      </c>
    </row>
    <row r="42" spans="1:10">
      <c r="A42" s="3">
        <v>740</v>
      </c>
      <c r="B42" s="3" t="s">
        <v>50</v>
      </c>
      <c r="C42" s="7" t="s">
        <v>190</v>
      </c>
      <c r="D42" s="7" t="s">
        <v>191</v>
      </c>
      <c r="E42" s="3" t="s">
        <v>79</v>
      </c>
      <c r="F42" s="7" t="s">
        <v>220</v>
      </c>
      <c r="G42" s="4">
        <v>42776.559604468719</v>
      </c>
      <c r="H42" s="9"/>
      <c r="I42" s="5">
        <v>27.775711189378704</v>
      </c>
      <c r="J42" s="6">
        <v>24.761132878810791</v>
      </c>
    </row>
    <row r="43" spans="1:10">
      <c r="A43" s="3">
        <v>710</v>
      </c>
      <c r="B43" s="3" t="s">
        <v>51</v>
      </c>
      <c r="C43" s="7" t="s">
        <v>192</v>
      </c>
      <c r="D43" s="7" t="s">
        <v>193</v>
      </c>
      <c r="E43" s="3" t="s">
        <v>72</v>
      </c>
      <c r="F43" s="7" t="s">
        <v>221</v>
      </c>
      <c r="G43" s="4">
        <v>42928.588193521231</v>
      </c>
      <c r="H43" s="9"/>
      <c r="I43" s="5">
        <v>30.942327317246061</v>
      </c>
      <c r="J43" s="6">
        <v>20.033041187170575</v>
      </c>
    </row>
    <row r="44" spans="1:10">
      <c r="A44" s="3">
        <v>758</v>
      </c>
      <c r="B44" s="3" t="s">
        <v>52</v>
      </c>
      <c r="C44" s="7" t="s">
        <v>194</v>
      </c>
      <c r="D44" s="7" t="s">
        <v>195</v>
      </c>
      <c r="E44" s="3" t="s">
        <v>68</v>
      </c>
      <c r="F44" s="7" t="s">
        <v>217</v>
      </c>
      <c r="G44" s="4">
        <v>44447.054903007484</v>
      </c>
      <c r="H44" s="9"/>
      <c r="I44" s="5">
        <v>28.782635958114668</v>
      </c>
      <c r="J44" s="6">
        <v>30.309625529184387</v>
      </c>
    </row>
    <row r="45" spans="1:10">
      <c r="A45" s="3">
        <v>723</v>
      </c>
      <c r="B45" s="3" t="s">
        <v>53</v>
      </c>
      <c r="C45" s="7" t="s">
        <v>196</v>
      </c>
      <c r="D45" s="7" t="s">
        <v>197</v>
      </c>
      <c r="E45" s="3" t="s">
        <v>64</v>
      </c>
      <c r="F45" s="7" t="s">
        <v>217</v>
      </c>
      <c r="G45" s="4">
        <v>42566.352320694052</v>
      </c>
      <c r="H45" s="9"/>
      <c r="I45" s="5">
        <v>28.152364184262602</v>
      </c>
      <c r="J45" s="6">
        <v>21.626248187921838</v>
      </c>
    </row>
    <row r="46" spans="1:10">
      <c r="A46" s="3">
        <v>769</v>
      </c>
      <c r="B46" s="3" t="s">
        <v>54</v>
      </c>
      <c r="C46" s="7" t="s">
        <v>198</v>
      </c>
      <c r="D46" s="7" t="s">
        <v>199</v>
      </c>
      <c r="E46" s="3" t="s">
        <v>63</v>
      </c>
      <c r="F46" s="7" t="s">
        <v>222</v>
      </c>
      <c r="G46" s="4">
        <v>44529.988733259481</v>
      </c>
      <c r="H46" s="9"/>
      <c r="I46" s="5">
        <v>38.131159644585523</v>
      </c>
      <c r="J46" s="6">
        <v>27.901873732119675</v>
      </c>
    </row>
    <row r="47" spans="1:10">
      <c r="A47" s="3">
        <v>701</v>
      </c>
      <c r="B47" s="3" t="s">
        <v>55</v>
      </c>
      <c r="C47" s="7" t="s">
        <v>200</v>
      </c>
      <c r="D47" s="7" t="s">
        <v>201</v>
      </c>
      <c r="E47" s="3" t="s">
        <v>77</v>
      </c>
      <c r="F47" s="7" t="s">
        <v>213</v>
      </c>
      <c r="G47" s="4">
        <v>44696.606884228873</v>
      </c>
      <c r="H47" s="9"/>
      <c r="I47" s="5">
        <v>22.5333498380934</v>
      </c>
      <c r="J47" s="6">
        <v>24.833700707045381</v>
      </c>
    </row>
    <row r="48" spans="1:10">
      <c r="A48" s="3">
        <v>766</v>
      </c>
      <c r="B48" s="3" t="s">
        <v>56</v>
      </c>
      <c r="C48" s="7" t="s">
        <v>202</v>
      </c>
      <c r="D48" s="7" t="s">
        <v>203</v>
      </c>
      <c r="E48" s="3" t="s">
        <v>76</v>
      </c>
      <c r="F48" s="7" t="s">
        <v>214</v>
      </c>
      <c r="G48" s="4">
        <v>42988.160841048426</v>
      </c>
      <c r="H48" s="9"/>
      <c r="I48" s="5">
        <v>26.055085103731372</v>
      </c>
      <c r="J48" s="6">
        <v>38.006054578626923</v>
      </c>
    </row>
    <row r="49" spans="1:10">
      <c r="A49" s="3">
        <v>783</v>
      </c>
      <c r="B49" s="3" t="s">
        <v>57</v>
      </c>
      <c r="C49" s="7" t="s">
        <v>204</v>
      </c>
      <c r="D49" s="7" t="s">
        <v>205</v>
      </c>
      <c r="E49" s="3" t="s">
        <v>78</v>
      </c>
      <c r="F49" s="7" t="s">
        <v>215</v>
      </c>
      <c r="G49" s="4">
        <v>44835.437203568203</v>
      </c>
      <c r="H49" s="9"/>
      <c r="I49" s="5">
        <v>33.233488195475573</v>
      </c>
      <c r="J49" s="6">
        <v>37.986821927306927</v>
      </c>
    </row>
    <row r="50" spans="1:10">
      <c r="A50" s="3">
        <v>729</v>
      </c>
      <c r="B50" s="3" t="s">
        <v>58</v>
      </c>
      <c r="C50" s="7" t="s">
        <v>206</v>
      </c>
      <c r="D50" s="7" t="s">
        <v>207</v>
      </c>
      <c r="E50" s="3" t="s">
        <v>75</v>
      </c>
      <c r="F50" s="7" t="s">
        <v>212</v>
      </c>
      <c r="G50" s="4">
        <v>42976.666322983212</v>
      </c>
      <c r="H50" s="9"/>
      <c r="I50" s="5">
        <v>23.805581736214933</v>
      </c>
      <c r="J50" s="6">
        <v>32.848281103169143</v>
      </c>
    </row>
    <row r="51" spans="1:10">
      <c r="A51" s="3">
        <v>782</v>
      </c>
      <c r="B51" s="3" t="s">
        <v>59</v>
      </c>
      <c r="C51" s="7" t="s">
        <v>208</v>
      </c>
      <c r="D51" s="7" t="s">
        <v>209</v>
      </c>
      <c r="E51" s="3" t="s">
        <v>65</v>
      </c>
      <c r="F51" s="7" t="s">
        <v>211</v>
      </c>
      <c r="G51" s="4">
        <v>42019.386792296107</v>
      </c>
      <c r="H51" s="9"/>
      <c r="I51" s="5">
        <v>25.478327030885474</v>
      </c>
      <c r="J51" s="6">
        <v>38.832449868507879</v>
      </c>
    </row>
    <row r="52" spans="1:10">
      <c r="E5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K52"/>
  <sheetViews>
    <sheetView workbookViewId="0">
      <selection activeCell="K17" sqref="K17"/>
    </sheetView>
  </sheetViews>
  <sheetFormatPr defaultRowHeight="15"/>
  <cols>
    <col min="1" max="1" width="6.88671875" bestFit="1" customWidth="1"/>
    <col min="2" max="2" width="16.6640625" bestFit="1" customWidth="1"/>
    <col min="3" max="3" width="15.6640625" customWidth="1"/>
    <col min="4" max="4" width="10.77734375" bestFit="1" customWidth="1"/>
    <col min="5" max="5" width="10" bestFit="1" customWidth="1"/>
    <col min="6" max="6" width="7.21875" bestFit="1" customWidth="1"/>
    <col min="7" max="7" width="11.21875" bestFit="1" customWidth="1"/>
    <col min="8" max="8" width="11.77734375" bestFit="1" customWidth="1"/>
    <col min="9" max="9" width="17.77734375" bestFit="1" customWidth="1"/>
    <col min="11" max="11" width="11.6640625" bestFit="1" customWidth="1"/>
  </cols>
  <sheetData>
    <row r="1" spans="1:11" ht="20.25" thickBot="1">
      <c r="A1" s="33" t="s">
        <v>0</v>
      </c>
      <c r="B1" s="33" t="s">
        <v>1</v>
      </c>
      <c r="C1" s="33" t="s">
        <v>80</v>
      </c>
      <c r="D1" s="33" t="s">
        <v>5</v>
      </c>
      <c r="E1" s="33" t="s">
        <v>6</v>
      </c>
      <c r="F1" s="33" t="s">
        <v>7</v>
      </c>
      <c r="G1" s="33" t="s">
        <v>97</v>
      </c>
      <c r="H1" s="33" t="s">
        <v>98</v>
      </c>
      <c r="I1" s="33" t="s">
        <v>99</v>
      </c>
      <c r="K1" s="32" t="s">
        <v>100</v>
      </c>
    </row>
    <row r="2" spans="1:11" ht="15.75" thickTop="1">
      <c r="A2" s="3">
        <v>731</v>
      </c>
      <c r="B2" s="3" t="s">
        <v>10</v>
      </c>
      <c r="C2" s="3" t="s">
        <v>73</v>
      </c>
      <c r="D2" s="4">
        <v>44167.207205993844</v>
      </c>
      <c r="E2" s="5">
        <v>26.582563460292626</v>
      </c>
      <c r="F2" s="6">
        <v>25.07793449759528</v>
      </c>
      <c r="G2" s="25">
        <f>E2*F2</f>
        <v>666.6357852353882</v>
      </c>
      <c r="H2" s="24">
        <v>8</v>
      </c>
      <c r="I2" s="35"/>
      <c r="K2" s="26">
        <v>20</v>
      </c>
    </row>
    <row r="3" spans="1:11">
      <c r="A3" s="3">
        <v>781</v>
      </c>
      <c r="B3" s="3" t="s">
        <v>11</v>
      </c>
      <c r="C3" s="3" t="s">
        <v>69</v>
      </c>
      <c r="D3" s="4">
        <v>44223.014975239028</v>
      </c>
      <c r="E3" s="5">
        <v>31.21293462426479</v>
      </c>
      <c r="F3" s="6">
        <v>35.159650022683792</v>
      </c>
      <c r="G3" s="25"/>
      <c r="H3" s="24">
        <v>18</v>
      </c>
      <c r="I3" s="35"/>
    </row>
    <row r="4" spans="1:11">
      <c r="A4" s="3">
        <v>771</v>
      </c>
      <c r="B4" s="3" t="s">
        <v>12</v>
      </c>
      <c r="C4" s="3" t="s">
        <v>75</v>
      </c>
      <c r="D4" s="4">
        <v>43663.066376366958</v>
      </c>
      <c r="E4" s="5">
        <v>33.445802454765435</v>
      </c>
      <c r="F4" s="6">
        <v>37.495359252405187</v>
      </c>
      <c r="G4" s="25"/>
      <c r="H4" s="24">
        <v>4</v>
      </c>
      <c r="I4" s="35"/>
    </row>
    <row r="5" spans="1:11">
      <c r="A5" s="3">
        <v>702</v>
      </c>
      <c r="B5" s="3" t="s">
        <v>13</v>
      </c>
      <c r="C5" s="3" t="s">
        <v>65</v>
      </c>
      <c r="D5" s="4">
        <v>42236.614176307186</v>
      </c>
      <c r="E5" s="5">
        <v>34.21501652453059</v>
      </c>
      <c r="F5" s="6">
        <v>26.934531148271134</v>
      </c>
      <c r="G5" s="25"/>
      <c r="H5" s="24">
        <v>10</v>
      </c>
      <c r="I5" s="35"/>
    </row>
    <row r="6" spans="1:11">
      <c r="A6" s="3">
        <v>777</v>
      </c>
      <c r="B6" s="3" t="s">
        <v>14</v>
      </c>
      <c r="C6" s="3" t="s">
        <v>77</v>
      </c>
      <c r="D6" s="4">
        <v>43791.902610858851</v>
      </c>
      <c r="E6" s="5">
        <v>39.806845012796202</v>
      </c>
      <c r="F6" s="6">
        <v>22.842243779196053</v>
      </c>
      <c r="G6" s="25"/>
      <c r="H6" s="24">
        <v>5</v>
      </c>
      <c r="I6" s="35"/>
    </row>
    <row r="7" spans="1:11">
      <c r="A7" s="3">
        <v>721</v>
      </c>
      <c r="B7" s="3" t="s">
        <v>15</v>
      </c>
      <c r="C7" s="3" t="s">
        <v>76</v>
      </c>
      <c r="D7" s="4">
        <v>41896.702941161122</v>
      </c>
      <c r="E7" s="5">
        <v>26.917505930064422</v>
      </c>
      <c r="F7" s="6">
        <v>36.042559781694685</v>
      </c>
      <c r="G7" s="25"/>
      <c r="H7" s="24">
        <v>11</v>
      </c>
      <c r="I7" s="35"/>
    </row>
    <row r="8" spans="1:11">
      <c r="A8" s="3">
        <v>737</v>
      </c>
      <c r="B8" s="3" t="s">
        <v>16</v>
      </c>
      <c r="C8" s="3" t="s">
        <v>78</v>
      </c>
      <c r="D8" s="4">
        <v>42957.250465946068</v>
      </c>
      <c r="E8" s="5">
        <v>25.700826456269397</v>
      </c>
      <c r="F8" s="6">
        <v>36.277769698551708</v>
      </c>
      <c r="G8" s="25"/>
      <c r="H8" s="24">
        <v>17</v>
      </c>
      <c r="I8" s="35"/>
    </row>
    <row r="9" spans="1:11">
      <c r="A9" s="3">
        <v>711</v>
      </c>
      <c r="B9" s="3" t="s">
        <v>17</v>
      </c>
      <c r="C9" s="3" t="s">
        <v>62</v>
      </c>
      <c r="D9" s="4">
        <v>43050.698662822397</v>
      </c>
      <c r="E9" s="5">
        <v>26.660820974835211</v>
      </c>
      <c r="F9" s="6">
        <v>23.540537390209309</v>
      </c>
      <c r="G9" s="25"/>
      <c r="H9" s="24">
        <v>8</v>
      </c>
      <c r="I9" s="35"/>
    </row>
    <row r="10" spans="1:11">
      <c r="A10" s="3">
        <v>788</v>
      </c>
      <c r="B10" s="3" t="s">
        <v>18</v>
      </c>
      <c r="C10" s="3" t="s">
        <v>70</v>
      </c>
      <c r="D10" s="4">
        <v>42734.622616901208</v>
      </c>
      <c r="E10" s="5">
        <v>31.514482748430645</v>
      </c>
      <c r="F10" s="6">
        <v>30.590717378723738</v>
      </c>
      <c r="G10" s="25"/>
      <c r="H10" s="24">
        <v>16</v>
      </c>
      <c r="I10" s="35"/>
    </row>
    <row r="11" spans="1:11">
      <c r="A11" s="3">
        <v>735</v>
      </c>
      <c r="B11" s="3" t="s">
        <v>19</v>
      </c>
      <c r="C11" s="3" t="s">
        <v>61</v>
      </c>
      <c r="D11" s="4">
        <v>43973.803999472337</v>
      </c>
      <c r="E11" s="5">
        <v>27.213857121681308</v>
      </c>
      <c r="F11" s="6">
        <v>26.517452207227834</v>
      </c>
      <c r="G11" s="25"/>
      <c r="H11" s="24">
        <v>5</v>
      </c>
      <c r="I11" s="35"/>
      <c r="K11" t="s">
        <v>223</v>
      </c>
    </row>
    <row r="12" spans="1:11">
      <c r="A12" s="3">
        <v>741</v>
      </c>
      <c r="B12" s="3" t="s">
        <v>20</v>
      </c>
      <c r="C12" s="3" t="s">
        <v>71</v>
      </c>
      <c r="D12" s="4">
        <v>45091.124344444826</v>
      </c>
      <c r="E12" s="5">
        <v>28.489241245772973</v>
      </c>
      <c r="F12" s="6">
        <v>35.808734831614323</v>
      </c>
      <c r="G12" s="25"/>
      <c r="H12" s="24">
        <v>7</v>
      </c>
      <c r="I12" s="35"/>
      <c r="K12" s="36">
        <f>E2*F2</f>
        <v>666.6357852353882</v>
      </c>
    </row>
    <row r="13" spans="1:11">
      <c r="A13" s="3">
        <v>706</v>
      </c>
      <c r="B13" s="3" t="s">
        <v>21</v>
      </c>
      <c r="C13" s="3" t="s">
        <v>66</v>
      </c>
      <c r="D13" s="4">
        <v>43096.540722769329</v>
      </c>
      <c r="E13" s="5">
        <v>37.736434997203943</v>
      </c>
      <c r="F13" s="6">
        <v>39.981703302737984</v>
      </c>
      <c r="G13" s="25"/>
      <c r="H13" s="24">
        <v>7</v>
      </c>
      <c r="I13" s="35"/>
    </row>
    <row r="14" spans="1:11">
      <c r="A14" s="3">
        <v>798</v>
      </c>
      <c r="B14" s="3" t="s">
        <v>22</v>
      </c>
      <c r="C14" s="3" t="s">
        <v>67</v>
      </c>
      <c r="D14" s="4">
        <v>44835.32386619586</v>
      </c>
      <c r="E14" s="5">
        <v>35.293069839071713</v>
      </c>
      <c r="F14" s="6">
        <v>24.630726342036226</v>
      </c>
      <c r="G14" s="25"/>
      <c r="H14" s="24">
        <v>2</v>
      </c>
      <c r="I14" s="35"/>
    </row>
    <row r="15" spans="1:11">
      <c r="A15" s="3">
        <v>751</v>
      </c>
      <c r="B15" s="3" t="s">
        <v>23</v>
      </c>
      <c r="C15" s="3" t="s">
        <v>74</v>
      </c>
      <c r="D15" s="4">
        <v>42551.59846599937</v>
      </c>
      <c r="E15" s="5">
        <v>26.394071582721132</v>
      </c>
      <c r="F15" s="6">
        <v>31.942487063120431</v>
      </c>
      <c r="G15" s="25"/>
      <c r="H15" s="24">
        <v>17</v>
      </c>
      <c r="I15" s="35"/>
      <c r="K15" t="s">
        <v>224</v>
      </c>
    </row>
    <row r="16" spans="1:11">
      <c r="A16" s="3">
        <v>756</v>
      </c>
      <c r="B16" s="3" t="s">
        <v>24</v>
      </c>
      <c r="C16" s="3" t="s">
        <v>79</v>
      </c>
      <c r="D16" s="4">
        <v>43174.53206767152</v>
      </c>
      <c r="E16" s="5">
        <v>39.903076288743073</v>
      </c>
      <c r="F16" s="6">
        <v>35.997824788060065</v>
      </c>
      <c r="G16" s="25"/>
      <c r="H16" s="24">
        <v>4</v>
      </c>
      <c r="I16" s="35"/>
      <c r="K16" t="s">
        <v>225</v>
      </c>
    </row>
    <row r="17" spans="1:9">
      <c r="A17" s="3">
        <v>791</v>
      </c>
      <c r="B17" s="3" t="s">
        <v>25</v>
      </c>
      <c r="C17" s="3" t="s">
        <v>72</v>
      </c>
      <c r="D17" s="4">
        <v>42331.820845291331</v>
      </c>
      <c r="E17" s="5">
        <v>31.265013619538045</v>
      </c>
      <c r="F17" s="6">
        <v>39.517299833019564</v>
      </c>
      <c r="G17" s="25"/>
      <c r="H17" s="24">
        <v>12</v>
      </c>
      <c r="I17" s="35"/>
    </row>
    <row r="18" spans="1:9">
      <c r="A18" s="3">
        <v>744</v>
      </c>
      <c r="B18" s="3" t="s">
        <v>26</v>
      </c>
      <c r="C18" s="3" t="s">
        <v>68</v>
      </c>
      <c r="D18" s="4">
        <v>43919.292773794274</v>
      </c>
      <c r="E18" s="5">
        <v>24.631684099159749</v>
      </c>
      <c r="F18" s="6">
        <v>25.059291588256919</v>
      </c>
      <c r="G18" s="25"/>
      <c r="H18" s="24">
        <v>8</v>
      </c>
      <c r="I18" s="35"/>
    </row>
    <row r="19" spans="1:9">
      <c r="A19" s="3">
        <v>736</v>
      </c>
      <c r="B19" s="3" t="s">
        <v>27</v>
      </c>
      <c r="C19" s="3" t="s">
        <v>64</v>
      </c>
      <c r="D19" s="4">
        <v>42588.529748372224</v>
      </c>
      <c r="E19" s="5">
        <v>26.639908683416962</v>
      </c>
      <c r="F19" s="6">
        <v>39.79958928551406</v>
      </c>
      <c r="G19" s="25"/>
      <c r="H19" s="24">
        <v>14</v>
      </c>
      <c r="I19" s="35"/>
    </row>
    <row r="20" spans="1:9">
      <c r="A20" s="3">
        <v>743</v>
      </c>
      <c r="B20" s="3" t="s">
        <v>28</v>
      </c>
      <c r="C20" s="3" t="s">
        <v>63</v>
      </c>
      <c r="D20" s="4">
        <v>44328.98446837614</v>
      </c>
      <c r="E20" s="5">
        <v>27.861077042566414</v>
      </c>
      <c r="F20" s="6">
        <v>34.027083928833065</v>
      </c>
      <c r="G20" s="25"/>
      <c r="H20" s="24">
        <v>4</v>
      </c>
      <c r="I20" s="35"/>
    </row>
    <row r="21" spans="1:9">
      <c r="A21" s="3">
        <v>766</v>
      </c>
      <c r="B21" s="3" t="s">
        <v>29</v>
      </c>
      <c r="C21" s="3" t="s">
        <v>77</v>
      </c>
      <c r="D21" s="4">
        <v>42722.871131833126</v>
      </c>
      <c r="E21" s="5">
        <v>30.099256898627551</v>
      </c>
      <c r="F21" s="6">
        <v>37.606994757270762</v>
      </c>
      <c r="G21" s="25"/>
      <c r="H21" s="24">
        <v>16</v>
      </c>
      <c r="I21" s="35"/>
    </row>
    <row r="22" spans="1:9">
      <c r="A22" s="3">
        <v>772</v>
      </c>
      <c r="B22" s="3" t="s">
        <v>30</v>
      </c>
      <c r="C22" s="3" t="s">
        <v>76</v>
      </c>
      <c r="D22" s="4">
        <v>42239.959898583453</v>
      </c>
      <c r="E22" s="5">
        <v>38.619056402535286</v>
      </c>
      <c r="F22" s="6">
        <v>28.732095190962873</v>
      </c>
      <c r="G22" s="25"/>
      <c r="H22" s="24">
        <v>6</v>
      </c>
      <c r="I22" s="35"/>
    </row>
    <row r="23" spans="1:9">
      <c r="A23" s="3">
        <v>751</v>
      </c>
      <c r="B23" s="3" t="s">
        <v>31</v>
      </c>
      <c r="C23" s="3" t="s">
        <v>78</v>
      </c>
      <c r="D23" s="4">
        <v>45108.571934108644</v>
      </c>
      <c r="E23" s="5">
        <v>34.420448563831357</v>
      </c>
      <c r="F23" s="6">
        <v>30.881529326539145</v>
      </c>
      <c r="G23" s="25"/>
      <c r="H23" s="24">
        <v>9</v>
      </c>
      <c r="I23" s="35"/>
    </row>
    <row r="24" spans="1:9">
      <c r="A24" s="3">
        <v>721</v>
      </c>
      <c r="B24" s="3" t="s">
        <v>32</v>
      </c>
      <c r="C24" s="3" t="s">
        <v>74</v>
      </c>
      <c r="D24" s="4">
        <v>44426.709149555398</v>
      </c>
      <c r="E24" s="5">
        <v>30.124557747982166</v>
      </c>
      <c r="F24" s="6">
        <v>35.592738672079726</v>
      </c>
      <c r="G24" s="25"/>
      <c r="H24" s="24">
        <v>11</v>
      </c>
      <c r="I24" s="35"/>
    </row>
    <row r="25" spans="1:9">
      <c r="A25" s="3">
        <v>785</v>
      </c>
      <c r="B25" s="3" t="s">
        <v>33</v>
      </c>
      <c r="C25" s="3" t="s">
        <v>79</v>
      </c>
      <c r="D25" s="4">
        <v>42798.665655661818</v>
      </c>
      <c r="E25" s="5">
        <v>34.711377833893671</v>
      </c>
      <c r="F25" s="6">
        <v>21.516780736684936</v>
      </c>
      <c r="G25" s="25"/>
      <c r="H25" s="24">
        <v>8</v>
      </c>
      <c r="I25" s="35"/>
    </row>
    <row r="26" spans="1:9">
      <c r="A26" s="3">
        <v>724</v>
      </c>
      <c r="B26" s="3" t="s">
        <v>34</v>
      </c>
      <c r="C26" s="3" t="s">
        <v>72</v>
      </c>
      <c r="D26" s="4">
        <v>44622.370879935777</v>
      </c>
      <c r="E26" s="5">
        <v>26.130294812962653</v>
      </c>
      <c r="F26" s="6">
        <v>26.553947442073373</v>
      </c>
      <c r="G26" s="25"/>
      <c r="H26" s="24">
        <v>12</v>
      </c>
      <c r="I26" s="35"/>
    </row>
    <row r="27" spans="1:9">
      <c r="A27" s="3">
        <v>792</v>
      </c>
      <c r="B27" s="3" t="s">
        <v>35</v>
      </c>
      <c r="C27" s="3" t="s">
        <v>68</v>
      </c>
      <c r="D27" s="4">
        <v>43457.9235212473</v>
      </c>
      <c r="E27" s="5">
        <v>35.782258518364181</v>
      </c>
      <c r="F27" s="6">
        <v>37.153992486013799</v>
      </c>
      <c r="G27" s="25"/>
      <c r="H27" s="24">
        <v>5</v>
      </c>
      <c r="I27" s="35"/>
    </row>
    <row r="28" spans="1:9">
      <c r="A28" s="3">
        <v>759</v>
      </c>
      <c r="B28" s="3" t="s">
        <v>36</v>
      </c>
      <c r="C28" s="3" t="s">
        <v>64</v>
      </c>
      <c r="D28" s="4">
        <v>44523.818447218218</v>
      </c>
      <c r="E28" s="5">
        <v>38.897068844353498</v>
      </c>
      <c r="F28" s="6">
        <v>33.575234724702689</v>
      </c>
      <c r="G28" s="25"/>
      <c r="H28" s="24">
        <v>15</v>
      </c>
      <c r="I28" s="35"/>
    </row>
    <row r="29" spans="1:9">
      <c r="A29" s="3">
        <v>704</v>
      </c>
      <c r="B29" s="3" t="s">
        <v>37</v>
      </c>
      <c r="C29" s="3" t="s">
        <v>63</v>
      </c>
      <c r="D29" s="4">
        <v>42085.294022578542</v>
      </c>
      <c r="E29" s="5">
        <v>23.413403242668906</v>
      </c>
      <c r="F29" s="6">
        <v>25.343936875161219</v>
      </c>
      <c r="G29" s="25"/>
      <c r="H29" s="24">
        <v>14</v>
      </c>
      <c r="I29" s="35"/>
    </row>
    <row r="30" spans="1:9">
      <c r="A30" s="3">
        <v>776</v>
      </c>
      <c r="B30" s="3" t="s">
        <v>38</v>
      </c>
      <c r="C30" s="3" t="s">
        <v>77</v>
      </c>
      <c r="D30" s="4">
        <v>42368.530478862376</v>
      </c>
      <c r="E30" s="5">
        <v>30.034484061423591</v>
      </c>
      <c r="F30" s="6">
        <v>29.319274473404661</v>
      </c>
      <c r="G30" s="25"/>
      <c r="H30" s="24">
        <v>11</v>
      </c>
      <c r="I30" s="35"/>
    </row>
    <row r="31" spans="1:9">
      <c r="A31" s="3">
        <v>716</v>
      </c>
      <c r="B31" s="3" t="s">
        <v>39</v>
      </c>
      <c r="C31" s="3" t="s">
        <v>76</v>
      </c>
      <c r="D31" s="4">
        <v>42701.126930425431</v>
      </c>
      <c r="E31" s="5">
        <v>25.309543015369165</v>
      </c>
      <c r="F31" s="6">
        <v>22.67783157792703</v>
      </c>
      <c r="G31" s="25"/>
      <c r="H31" s="24">
        <v>6</v>
      </c>
      <c r="I31" s="35"/>
    </row>
    <row r="32" spans="1:9">
      <c r="A32" s="3">
        <v>788</v>
      </c>
      <c r="B32" s="3" t="s">
        <v>40</v>
      </c>
      <c r="C32" s="3" t="s">
        <v>78</v>
      </c>
      <c r="D32" s="4">
        <v>43356.868124677014</v>
      </c>
      <c r="E32" s="5">
        <v>35.752986201235295</v>
      </c>
      <c r="F32" s="6">
        <v>21.177756761511475</v>
      </c>
      <c r="G32" s="25"/>
      <c r="H32" s="24">
        <v>3</v>
      </c>
      <c r="I32" s="35"/>
    </row>
    <row r="33" spans="1:9">
      <c r="A33" s="3">
        <v>749</v>
      </c>
      <c r="B33" s="3" t="s">
        <v>41</v>
      </c>
      <c r="C33" s="3" t="s">
        <v>75</v>
      </c>
      <c r="D33" s="4">
        <v>43755.465285879822</v>
      </c>
      <c r="E33" s="5">
        <v>30.721256007990682</v>
      </c>
      <c r="F33" s="6">
        <v>25.712852589312803</v>
      </c>
      <c r="G33" s="25"/>
      <c r="H33" s="24">
        <v>4</v>
      </c>
      <c r="I33" s="35"/>
    </row>
    <row r="34" spans="1:9">
      <c r="A34" s="3">
        <v>758</v>
      </c>
      <c r="B34" s="3" t="s">
        <v>42</v>
      </c>
      <c r="C34" s="3" t="s">
        <v>65</v>
      </c>
      <c r="D34" s="4">
        <v>45017.39192292087</v>
      </c>
      <c r="E34" s="5">
        <v>33.035464033388372</v>
      </c>
      <c r="F34" s="6">
        <v>28.431434900827277</v>
      </c>
      <c r="G34" s="25"/>
      <c r="H34" s="24">
        <v>2</v>
      </c>
      <c r="I34" s="35"/>
    </row>
    <row r="35" spans="1:9">
      <c r="A35" s="3">
        <v>735</v>
      </c>
      <c r="B35" s="3" t="s">
        <v>43</v>
      </c>
      <c r="C35" s="3" t="s">
        <v>77</v>
      </c>
      <c r="D35" s="4">
        <v>42226.267940830629</v>
      </c>
      <c r="E35" s="5">
        <v>30.798148022931784</v>
      </c>
      <c r="F35" s="6">
        <v>28.43479819541038</v>
      </c>
      <c r="G35" s="25"/>
      <c r="H35" s="24">
        <v>15</v>
      </c>
      <c r="I35" s="35"/>
    </row>
    <row r="36" spans="1:9">
      <c r="A36" s="3">
        <v>715</v>
      </c>
      <c r="B36" s="3" t="s">
        <v>44</v>
      </c>
      <c r="C36" s="3" t="s">
        <v>76</v>
      </c>
      <c r="D36" s="4">
        <v>41975.553172036125</v>
      </c>
      <c r="E36" s="5">
        <v>32.753529741025282</v>
      </c>
      <c r="F36" s="6">
        <v>20.056161259455173</v>
      </c>
      <c r="G36" s="25"/>
      <c r="H36" s="24">
        <v>18</v>
      </c>
      <c r="I36" s="35"/>
    </row>
    <row r="37" spans="1:9">
      <c r="A37" s="3">
        <v>795</v>
      </c>
      <c r="B37" s="3" t="s">
        <v>45</v>
      </c>
      <c r="C37" s="3" t="s">
        <v>78</v>
      </c>
      <c r="D37" s="4">
        <v>44416.148553936902</v>
      </c>
      <c r="E37" s="5">
        <v>20.430351599124322</v>
      </c>
      <c r="F37" s="6">
        <v>27.017363211406057</v>
      </c>
      <c r="G37" s="25"/>
      <c r="H37" s="24">
        <v>6</v>
      </c>
      <c r="I37" s="35"/>
    </row>
    <row r="38" spans="1:9">
      <c r="A38" s="3">
        <v>777</v>
      </c>
      <c r="B38" s="3" t="s">
        <v>46</v>
      </c>
      <c r="C38" s="3" t="s">
        <v>62</v>
      </c>
      <c r="D38" s="4">
        <v>43361.494526277937</v>
      </c>
      <c r="E38" s="5">
        <v>35.206954966143577</v>
      </c>
      <c r="F38" s="6">
        <v>29.171149447201202</v>
      </c>
      <c r="G38" s="25"/>
      <c r="H38" s="24">
        <v>18</v>
      </c>
      <c r="I38" s="35"/>
    </row>
    <row r="39" spans="1:9">
      <c r="A39" s="3">
        <v>714</v>
      </c>
      <c r="B39" s="3" t="s">
        <v>47</v>
      </c>
      <c r="C39" s="3" t="s">
        <v>70</v>
      </c>
      <c r="D39" s="4">
        <v>42406.535908922859</v>
      </c>
      <c r="E39" s="5">
        <v>31.783898546839154</v>
      </c>
      <c r="F39" s="6">
        <v>35.756855686847921</v>
      </c>
      <c r="G39" s="25"/>
      <c r="H39" s="24">
        <v>9</v>
      </c>
      <c r="I39" s="35"/>
    </row>
    <row r="40" spans="1:9">
      <c r="A40" s="3">
        <v>729</v>
      </c>
      <c r="B40" s="3" t="s">
        <v>48</v>
      </c>
      <c r="C40" s="3" t="s">
        <v>61</v>
      </c>
      <c r="D40" s="4">
        <v>43512.894853852915</v>
      </c>
      <c r="E40" s="5">
        <v>25.353789842127156</v>
      </c>
      <c r="F40" s="6">
        <v>27.145119228238222</v>
      </c>
      <c r="G40" s="25"/>
      <c r="H40" s="24">
        <v>18</v>
      </c>
      <c r="I40" s="35"/>
    </row>
    <row r="41" spans="1:9">
      <c r="A41" s="3">
        <v>758</v>
      </c>
      <c r="B41" s="3" t="s">
        <v>49</v>
      </c>
      <c r="C41" s="3" t="s">
        <v>71</v>
      </c>
      <c r="D41" s="4">
        <v>45098.763872342628</v>
      </c>
      <c r="E41" s="5">
        <v>36.44303308908011</v>
      </c>
      <c r="F41" s="6">
        <v>26.886464070545003</v>
      </c>
      <c r="G41" s="25"/>
      <c r="H41" s="24">
        <v>14</v>
      </c>
      <c r="I41" s="35"/>
    </row>
    <row r="42" spans="1:9">
      <c r="A42" s="3">
        <v>740</v>
      </c>
      <c r="B42" s="3" t="s">
        <v>50</v>
      </c>
      <c r="C42" s="3" t="s">
        <v>79</v>
      </c>
      <c r="D42" s="4">
        <v>42776.559604468719</v>
      </c>
      <c r="E42" s="5">
        <v>27.775711189378704</v>
      </c>
      <c r="F42" s="6">
        <v>24.761132878810791</v>
      </c>
      <c r="G42" s="25"/>
      <c r="H42" s="24">
        <v>2</v>
      </c>
      <c r="I42" s="35"/>
    </row>
    <row r="43" spans="1:9">
      <c r="A43" s="3">
        <v>710</v>
      </c>
      <c r="B43" s="3" t="s">
        <v>51</v>
      </c>
      <c r="C43" s="3" t="s">
        <v>72</v>
      </c>
      <c r="D43" s="4">
        <v>42928.588193521231</v>
      </c>
      <c r="E43" s="5">
        <v>30.942327317246061</v>
      </c>
      <c r="F43" s="6">
        <v>20.033041187170575</v>
      </c>
      <c r="G43" s="25"/>
      <c r="H43" s="24">
        <v>6</v>
      </c>
      <c r="I43" s="35"/>
    </row>
    <row r="44" spans="1:9">
      <c r="A44" s="3">
        <v>758</v>
      </c>
      <c r="B44" s="3" t="s">
        <v>52</v>
      </c>
      <c r="C44" s="3" t="s">
        <v>68</v>
      </c>
      <c r="D44" s="4">
        <v>44447.054903007484</v>
      </c>
      <c r="E44" s="5">
        <v>28.782635958114668</v>
      </c>
      <c r="F44" s="6">
        <v>30.309625529184387</v>
      </c>
      <c r="G44" s="25"/>
      <c r="H44" s="24">
        <v>11</v>
      </c>
      <c r="I44" s="35"/>
    </row>
    <row r="45" spans="1:9">
      <c r="A45" s="3">
        <v>723</v>
      </c>
      <c r="B45" s="3" t="s">
        <v>53</v>
      </c>
      <c r="C45" s="3" t="s">
        <v>64</v>
      </c>
      <c r="D45" s="4">
        <v>42566.352320694052</v>
      </c>
      <c r="E45" s="5">
        <v>28.152364184262602</v>
      </c>
      <c r="F45" s="6">
        <v>21.626248187921838</v>
      </c>
      <c r="G45" s="25"/>
      <c r="H45" s="24">
        <v>2</v>
      </c>
      <c r="I45" s="35"/>
    </row>
    <row r="46" spans="1:9">
      <c r="A46" s="3">
        <v>769</v>
      </c>
      <c r="B46" s="3" t="s">
        <v>54</v>
      </c>
      <c r="C46" s="3" t="s">
        <v>63</v>
      </c>
      <c r="D46" s="4">
        <v>44529.988733259481</v>
      </c>
      <c r="E46" s="5">
        <v>38.131159644585523</v>
      </c>
      <c r="F46" s="6">
        <v>27.901873732119675</v>
      </c>
      <c r="G46" s="25"/>
      <c r="H46" s="24">
        <v>15</v>
      </c>
      <c r="I46" s="35"/>
    </row>
    <row r="47" spans="1:9">
      <c r="A47" s="3">
        <v>701</v>
      </c>
      <c r="B47" s="3" t="s">
        <v>55</v>
      </c>
      <c r="C47" s="3" t="s">
        <v>77</v>
      </c>
      <c r="D47" s="4">
        <v>44696.606884228873</v>
      </c>
      <c r="E47" s="5">
        <v>22.5333498380934</v>
      </c>
      <c r="F47" s="6">
        <v>24.833700707045381</v>
      </c>
      <c r="G47" s="25"/>
      <c r="H47" s="24">
        <v>14</v>
      </c>
      <c r="I47" s="35"/>
    </row>
    <row r="48" spans="1:9">
      <c r="A48" s="3">
        <v>766</v>
      </c>
      <c r="B48" s="3" t="s">
        <v>56</v>
      </c>
      <c r="C48" s="3" t="s">
        <v>76</v>
      </c>
      <c r="D48" s="4">
        <v>42988.160841048426</v>
      </c>
      <c r="E48" s="5">
        <v>26.055085103731372</v>
      </c>
      <c r="F48" s="6">
        <v>38.006054578626923</v>
      </c>
      <c r="G48" s="25"/>
      <c r="H48" s="24">
        <v>14</v>
      </c>
      <c r="I48" s="35"/>
    </row>
    <row r="49" spans="1:9">
      <c r="A49" s="3">
        <v>783</v>
      </c>
      <c r="B49" s="3" t="s">
        <v>57</v>
      </c>
      <c r="C49" s="3" t="s">
        <v>78</v>
      </c>
      <c r="D49" s="4">
        <v>44835.437203568203</v>
      </c>
      <c r="E49" s="5">
        <v>33.233488195475573</v>
      </c>
      <c r="F49" s="6">
        <v>37.986821927306927</v>
      </c>
      <c r="G49" s="25"/>
      <c r="H49" s="24">
        <v>4</v>
      </c>
      <c r="I49" s="35"/>
    </row>
    <row r="50" spans="1:9">
      <c r="A50" s="3">
        <v>729</v>
      </c>
      <c r="B50" s="3" t="s">
        <v>58</v>
      </c>
      <c r="C50" s="3" t="s">
        <v>75</v>
      </c>
      <c r="D50" s="4">
        <v>42976.666322983212</v>
      </c>
      <c r="E50" s="5">
        <v>23.805581736214933</v>
      </c>
      <c r="F50" s="6">
        <v>32.848281103169143</v>
      </c>
      <c r="G50" s="25"/>
      <c r="H50" s="24">
        <v>4</v>
      </c>
      <c r="I50" s="35"/>
    </row>
    <row r="51" spans="1:9">
      <c r="A51" s="3">
        <v>782</v>
      </c>
      <c r="B51" s="3" t="s">
        <v>59</v>
      </c>
      <c r="C51" s="3" t="s">
        <v>65</v>
      </c>
      <c r="D51" s="4">
        <v>42019.386792296107</v>
      </c>
      <c r="E51" s="5">
        <v>25.478327030885474</v>
      </c>
      <c r="F51" s="6">
        <v>38.832449868507879</v>
      </c>
      <c r="G51" s="25"/>
      <c r="H51" s="24">
        <v>14</v>
      </c>
      <c r="I51" s="35"/>
    </row>
    <row r="52" spans="1:9">
      <c r="A52" s="3">
        <v>1001</v>
      </c>
      <c r="B52" s="3" t="s">
        <v>109</v>
      </c>
      <c r="C52" s="3" t="s">
        <v>67</v>
      </c>
      <c r="D52" s="4">
        <v>45416</v>
      </c>
      <c r="E52" s="5">
        <v>30</v>
      </c>
      <c r="F52" s="6">
        <v>25</v>
      </c>
      <c r="G52" s="25"/>
      <c r="H52" s="24">
        <v>2</v>
      </c>
      <c r="I52" s="3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I51"/>
  <sheetViews>
    <sheetView workbookViewId="0">
      <selection activeCell="H2" sqref="H2"/>
    </sheetView>
  </sheetViews>
  <sheetFormatPr defaultRowHeight="15"/>
  <cols>
    <col min="1" max="1" width="18.44140625" bestFit="1" customWidth="1"/>
    <col min="2" max="2" width="18.44140625" customWidth="1"/>
    <col min="3" max="3" width="16.6640625" bestFit="1" customWidth="1"/>
    <col min="4" max="4" width="13.44140625" customWidth="1"/>
    <col min="7" max="7" width="16.44140625" customWidth="1"/>
    <col min="8" max="8" width="13.6640625" bestFit="1" customWidth="1"/>
    <col min="10" max="10" width="10.109375" bestFit="1" customWidth="1"/>
    <col min="13" max="13" width="11.33203125" bestFit="1" customWidth="1"/>
  </cols>
  <sheetData>
    <row r="1" spans="1:9">
      <c r="A1" s="27" t="s">
        <v>95</v>
      </c>
      <c r="B1" s="27" t="s">
        <v>4</v>
      </c>
      <c r="C1" s="27" t="s">
        <v>101</v>
      </c>
      <c r="D1" s="27" t="s">
        <v>60</v>
      </c>
      <c r="G1" s="28" t="s">
        <v>101</v>
      </c>
      <c r="H1" s="28" t="s">
        <v>107</v>
      </c>
    </row>
    <row r="2" spans="1:9" ht="15.75">
      <c r="A2" s="3" t="s">
        <v>88</v>
      </c>
      <c r="B2" s="3" t="s">
        <v>103</v>
      </c>
      <c r="C2" s="3" t="s">
        <v>36</v>
      </c>
      <c r="D2" s="31">
        <v>2485.5425025032014</v>
      </c>
      <c r="G2" s="29" t="s">
        <v>17</v>
      </c>
      <c r="H2" s="8">
        <f>COUNTIF(C2:C51,G2)</f>
        <v>2</v>
      </c>
    </row>
    <row r="3" spans="1:9">
      <c r="A3" s="3" t="s">
        <v>88</v>
      </c>
      <c r="B3" s="3" t="s">
        <v>104</v>
      </c>
      <c r="C3" s="3" t="s">
        <v>22</v>
      </c>
      <c r="D3" s="31">
        <v>2452.4912622756756</v>
      </c>
    </row>
    <row r="4" spans="1:9">
      <c r="A4" s="3" t="s">
        <v>90</v>
      </c>
      <c r="B4" s="3" t="s">
        <v>105</v>
      </c>
      <c r="C4" s="3" t="s">
        <v>53</v>
      </c>
      <c r="D4" s="31">
        <v>2411.2752598171637</v>
      </c>
      <c r="G4" s="12" t="s">
        <v>101</v>
      </c>
      <c r="H4" s="12" t="s">
        <v>108</v>
      </c>
    </row>
    <row r="5" spans="1:9" ht="15.75">
      <c r="A5" s="3" t="s">
        <v>92</v>
      </c>
      <c r="B5" s="3" t="s">
        <v>105</v>
      </c>
      <c r="C5" s="3" t="s">
        <v>48</v>
      </c>
      <c r="D5" s="31">
        <v>2399.3889028667941</v>
      </c>
      <c r="G5" s="29" t="s">
        <v>24</v>
      </c>
      <c r="H5" s="30"/>
    </row>
    <row r="6" spans="1:9">
      <c r="A6" s="3" t="s">
        <v>90</v>
      </c>
      <c r="B6" s="3" t="s">
        <v>106</v>
      </c>
      <c r="C6" s="3" t="s">
        <v>39</v>
      </c>
      <c r="D6" s="31">
        <v>2298.4297623741923</v>
      </c>
    </row>
    <row r="7" spans="1:9">
      <c r="A7" s="3" t="s">
        <v>88</v>
      </c>
      <c r="B7" s="3" t="s">
        <v>103</v>
      </c>
      <c r="C7" s="3" t="s">
        <v>56</v>
      </c>
      <c r="D7" s="31">
        <v>2295.9772561421942</v>
      </c>
      <c r="G7" s="12" t="s">
        <v>4</v>
      </c>
      <c r="H7" s="12" t="s">
        <v>108</v>
      </c>
    </row>
    <row r="8" spans="1:9" ht="15.75">
      <c r="A8" s="3" t="s">
        <v>88</v>
      </c>
      <c r="B8" s="3" t="s">
        <v>104</v>
      </c>
      <c r="C8" s="3" t="s">
        <v>17</v>
      </c>
      <c r="D8" s="31">
        <v>2233.4392560952456</v>
      </c>
      <c r="G8" s="29" t="s">
        <v>102</v>
      </c>
      <c r="H8" s="30">
        <f>SUMIF(B2:B51,G8,D2:D51)</f>
        <v>15573.78146575117</v>
      </c>
    </row>
    <row r="9" spans="1:9">
      <c r="A9" s="3" t="s">
        <v>92</v>
      </c>
      <c r="B9" s="3" t="s">
        <v>106</v>
      </c>
      <c r="C9" s="3" t="s">
        <v>39</v>
      </c>
      <c r="D9" s="31">
        <v>2199.7103159956137</v>
      </c>
    </row>
    <row r="10" spans="1:9">
      <c r="A10" s="3" t="s">
        <v>89</v>
      </c>
      <c r="B10" s="3" t="s">
        <v>103</v>
      </c>
      <c r="C10" s="3" t="s">
        <v>46</v>
      </c>
      <c r="D10" s="31">
        <v>2195.6171593489094</v>
      </c>
      <c r="G10" s="12" t="s">
        <v>95</v>
      </c>
      <c r="H10" s="12" t="s">
        <v>110</v>
      </c>
    </row>
    <row r="11" spans="1:9" ht="15.75">
      <c r="A11" s="3" t="s">
        <v>92</v>
      </c>
      <c r="B11" s="3" t="s">
        <v>106</v>
      </c>
      <c r="C11" s="3" t="s">
        <v>19</v>
      </c>
      <c r="D11" s="31">
        <v>2143.2361594555232</v>
      </c>
      <c r="G11" s="29" t="s">
        <v>88</v>
      </c>
      <c r="H11" s="30" t="e">
        <f>AVERAGEIF( C2:C51,G11,D2:D51)</f>
        <v>#DIV/0!</v>
      </c>
      <c r="I11" t="e">
        <f>AVERAGEIF(C2:C51,G11,D2:D51)</f>
        <v>#DIV/0!</v>
      </c>
    </row>
    <row r="12" spans="1:9">
      <c r="A12" s="3" t="s">
        <v>86</v>
      </c>
      <c r="B12" s="3" t="s">
        <v>102</v>
      </c>
      <c r="C12" s="3" t="s">
        <v>55</v>
      </c>
      <c r="D12" s="31">
        <v>2140.1715796393578</v>
      </c>
    </row>
    <row r="13" spans="1:9">
      <c r="A13" s="3" t="s">
        <v>90</v>
      </c>
      <c r="B13" s="3" t="s">
        <v>105</v>
      </c>
      <c r="C13" s="3" t="s">
        <v>48</v>
      </c>
      <c r="D13" s="31">
        <v>2117.8139065863929</v>
      </c>
    </row>
    <row r="14" spans="1:9">
      <c r="A14" s="3" t="s">
        <v>92</v>
      </c>
      <c r="B14" s="3" t="s">
        <v>106</v>
      </c>
      <c r="C14" s="3" t="s">
        <v>24</v>
      </c>
      <c r="D14" s="31">
        <v>2097.3347042987398</v>
      </c>
    </row>
    <row r="15" spans="1:9">
      <c r="A15" s="3" t="s">
        <v>86</v>
      </c>
      <c r="B15" s="3" t="s">
        <v>103</v>
      </c>
      <c r="C15" s="3" t="s">
        <v>21</v>
      </c>
      <c r="D15" s="31">
        <v>2086.7184890340336</v>
      </c>
    </row>
    <row r="16" spans="1:9">
      <c r="A16" s="3" t="s">
        <v>89</v>
      </c>
      <c r="B16" s="3" t="s">
        <v>104</v>
      </c>
      <c r="C16" s="3" t="s">
        <v>22</v>
      </c>
      <c r="D16" s="31">
        <v>2075.1387924557025</v>
      </c>
    </row>
    <row r="17" spans="1:8">
      <c r="A17" s="3" t="s">
        <v>89</v>
      </c>
      <c r="B17" s="3" t="s">
        <v>104</v>
      </c>
      <c r="C17" s="3" t="s">
        <v>42</v>
      </c>
      <c r="D17" s="31">
        <v>2053.9920959685273</v>
      </c>
    </row>
    <row r="18" spans="1:8">
      <c r="A18" s="3" t="s">
        <v>86</v>
      </c>
      <c r="B18" s="3" t="s">
        <v>102</v>
      </c>
      <c r="C18" s="3" t="s">
        <v>40</v>
      </c>
      <c r="D18" s="31">
        <v>2036.6950622328031</v>
      </c>
    </row>
    <row r="19" spans="1:8">
      <c r="A19" s="3" t="s">
        <v>89</v>
      </c>
      <c r="B19" s="3" t="s">
        <v>105</v>
      </c>
      <c r="C19" s="3" t="s">
        <v>18</v>
      </c>
      <c r="D19" s="31">
        <v>2033.0164115392486</v>
      </c>
      <c r="H19" s="36"/>
    </row>
    <row r="20" spans="1:8">
      <c r="A20" s="3" t="s">
        <v>88</v>
      </c>
      <c r="B20" s="3" t="s">
        <v>103</v>
      </c>
      <c r="C20" s="3" t="s">
        <v>41</v>
      </c>
      <c r="D20" s="31">
        <v>1984.6227050739526</v>
      </c>
      <c r="H20" s="36"/>
    </row>
    <row r="21" spans="1:8">
      <c r="A21" s="3" t="s">
        <v>89</v>
      </c>
      <c r="B21" s="3" t="s">
        <v>105</v>
      </c>
      <c r="C21" s="3" t="s">
        <v>38</v>
      </c>
      <c r="D21" s="31">
        <v>1971.5373897347536</v>
      </c>
    </row>
    <row r="22" spans="1:8">
      <c r="A22" s="3" t="s">
        <v>89</v>
      </c>
      <c r="B22" s="3" t="s">
        <v>104</v>
      </c>
      <c r="C22" s="3" t="s">
        <v>17</v>
      </c>
      <c r="D22" s="31">
        <v>1948.6275979010079</v>
      </c>
    </row>
    <row r="23" spans="1:8">
      <c r="A23" s="3" t="s">
        <v>90</v>
      </c>
      <c r="B23" s="3" t="s">
        <v>105</v>
      </c>
      <c r="C23" s="3" t="s">
        <v>23</v>
      </c>
      <c r="D23" s="31">
        <v>1942.2175960351401</v>
      </c>
    </row>
    <row r="24" spans="1:8">
      <c r="A24" s="3" t="s">
        <v>86</v>
      </c>
      <c r="B24" s="3" t="s">
        <v>102</v>
      </c>
      <c r="C24" s="3" t="s">
        <v>25</v>
      </c>
      <c r="D24" s="31">
        <v>1936.4593260598499</v>
      </c>
    </row>
    <row r="25" spans="1:8">
      <c r="A25" s="3" t="s">
        <v>89</v>
      </c>
      <c r="B25" s="3" t="s">
        <v>105</v>
      </c>
      <c r="C25" s="3" t="s">
        <v>23</v>
      </c>
      <c r="D25" s="31">
        <v>1907.3990150313807</v>
      </c>
    </row>
    <row r="26" spans="1:8">
      <c r="A26" s="3" t="s">
        <v>86</v>
      </c>
      <c r="B26" s="3" t="s">
        <v>102</v>
      </c>
      <c r="C26" s="3" t="s">
        <v>20</v>
      </c>
      <c r="D26" s="31">
        <v>1905.3521500282927</v>
      </c>
    </row>
    <row r="27" spans="1:8">
      <c r="A27" s="3" t="s">
        <v>89</v>
      </c>
      <c r="B27" s="3" t="s">
        <v>104</v>
      </c>
      <c r="C27" s="3" t="s">
        <v>37</v>
      </c>
      <c r="D27" s="31">
        <v>1866.4048801373924</v>
      </c>
    </row>
    <row r="28" spans="1:8">
      <c r="A28" s="3" t="s">
        <v>86</v>
      </c>
      <c r="B28" s="3" t="s">
        <v>102</v>
      </c>
      <c r="C28" s="3" t="s">
        <v>50</v>
      </c>
      <c r="D28" s="31">
        <v>1865.4394563647361</v>
      </c>
    </row>
    <row r="29" spans="1:8">
      <c r="A29" s="3" t="s">
        <v>88</v>
      </c>
      <c r="B29" s="3" t="s">
        <v>103</v>
      </c>
      <c r="C29" s="3" t="s">
        <v>21</v>
      </c>
      <c r="D29" s="31">
        <v>1761.424677717755</v>
      </c>
    </row>
    <row r="30" spans="1:8">
      <c r="A30" s="3" t="s">
        <v>92</v>
      </c>
      <c r="B30" s="3" t="s">
        <v>106</v>
      </c>
      <c r="C30" s="3" t="s">
        <v>54</v>
      </c>
      <c r="D30" s="31">
        <v>1741.3497810112349</v>
      </c>
    </row>
    <row r="31" spans="1:8">
      <c r="A31" s="3" t="s">
        <v>88</v>
      </c>
      <c r="B31" s="3" t="s">
        <v>103</v>
      </c>
      <c r="C31" s="3" t="s">
        <v>51</v>
      </c>
      <c r="D31" s="31">
        <v>1706.5603919918467</v>
      </c>
    </row>
    <row r="32" spans="1:8">
      <c r="A32" s="3" t="s">
        <v>88</v>
      </c>
      <c r="B32" s="3" t="s">
        <v>103</v>
      </c>
      <c r="C32" s="3" t="s">
        <v>46</v>
      </c>
      <c r="D32" s="31">
        <v>1684.1325414096841</v>
      </c>
    </row>
    <row r="33" spans="1:4">
      <c r="A33" s="3" t="s">
        <v>90</v>
      </c>
      <c r="B33" s="3" t="s">
        <v>106</v>
      </c>
      <c r="C33" s="3" t="s">
        <v>19</v>
      </c>
      <c r="D33" s="31">
        <v>1677.1045252943609</v>
      </c>
    </row>
    <row r="34" spans="1:4">
      <c r="A34" s="3" t="s">
        <v>92</v>
      </c>
      <c r="B34" s="3" t="s">
        <v>106</v>
      </c>
      <c r="C34" s="3" t="s">
        <v>49</v>
      </c>
      <c r="D34" s="31">
        <v>1658.7425942497066</v>
      </c>
    </row>
    <row r="35" spans="1:4">
      <c r="A35" s="3" t="s">
        <v>89</v>
      </c>
      <c r="B35" s="3" t="s">
        <v>104</v>
      </c>
      <c r="C35" s="3" t="s">
        <v>52</v>
      </c>
      <c r="D35" s="31">
        <v>1602.646215655278</v>
      </c>
    </row>
    <row r="36" spans="1:4">
      <c r="A36" s="3" t="s">
        <v>88</v>
      </c>
      <c r="B36" s="3" t="s">
        <v>103</v>
      </c>
      <c r="C36" s="3" t="s">
        <v>16</v>
      </c>
      <c r="D36" s="31">
        <v>1574.6785976996048</v>
      </c>
    </row>
    <row r="37" spans="1:4">
      <c r="A37" s="3" t="s">
        <v>90</v>
      </c>
      <c r="B37" s="3" t="s">
        <v>105</v>
      </c>
      <c r="C37" s="3" t="s">
        <v>18</v>
      </c>
      <c r="D37" s="31">
        <v>1563.0660558008631</v>
      </c>
    </row>
    <row r="38" spans="1:4">
      <c r="A38" s="3" t="s">
        <v>90</v>
      </c>
      <c r="B38" s="3" t="s">
        <v>105</v>
      </c>
      <c r="C38" s="3" t="s">
        <v>33</v>
      </c>
      <c r="D38" s="31">
        <v>1560.0755965858848</v>
      </c>
    </row>
    <row r="39" spans="1:4">
      <c r="A39" s="3" t="s">
        <v>86</v>
      </c>
      <c r="B39" s="3" t="s">
        <v>102</v>
      </c>
      <c r="C39" s="3" t="s">
        <v>45</v>
      </c>
      <c r="D39" s="31">
        <v>1552.384799649074</v>
      </c>
    </row>
    <row r="40" spans="1:4">
      <c r="A40" s="3" t="s">
        <v>90</v>
      </c>
      <c r="B40" s="3" t="s">
        <v>104</v>
      </c>
      <c r="C40" s="3" t="s">
        <v>47</v>
      </c>
      <c r="D40" s="31">
        <v>1528.8013988659523</v>
      </c>
    </row>
    <row r="41" spans="1:4">
      <c r="A41" s="3" t="s">
        <v>90</v>
      </c>
      <c r="B41" s="3" t="s">
        <v>105</v>
      </c>
      <c r="C41" s="3" t="s">
        <v>38</v>
      </c>
      <c r="D41" s="31">
        <v>1524.7423649076427</v>
      </c>
    </row>
    <row r="42" spans="1:4">
      <c r="A42" s="3" t="s">
        <v>86</v>
      </c>
      <c r="B42" s="3" t="s">
        <v>103</v>
      </c>
      <c r="C42" s="3" t="s">
        <v>36</v>
      </c>
      <c r="D42" s="31">
        <v>1496.0127962877614</v>
      </c>
    </row>
    <row r="43" spans="1:4">
      <c r="A43" s="3" t="s">
        <v>86</v>
      </c>
      <c r="B43" s="3" t="s">
        <v>102</v>
      </c>
      <c r="C43" s="3" t="s">
        <v>35</v>
      </c>
      <c r="D43" s="31">
        <v>1449.9535643969621</v>
      </c>
    </row>
    <row r="44" spans="1:4">
      <c r="A44" s="3" t="s">
        <v>92</v>
      </c>
      <c r="B44" s="3" t="s">
        <v>106</v>
      </c>
      <c r="C44" s="3" t="s">
        <v>34</v>
      </c>
      <c r="D44" s="31">
        <v>1435.3291147419086</v>
      </c>
    </row>
    <row r="45" spans="1:4">
      <c r="A45" s="3" t="s">
        <v>88</v>
      </c>
      <c r="B45" s="3" t="s">
        <v>104</v>
      </c>
      <c r="C45" s="3" t="s">
        <v>37</v>
      </c>
      <c r="D45" s="31">
        <v>1425.9109119635345</v>
      </c>
    </row>
    <row r="46" spans="1:4">
      <c r="A46" s="3" t="s">
        <v>92</v>
      </c>
      <c r="B46" s="3" t="s">
        <v>102</v>
      </c>
      <c r="C46" s="3" t="s">
        <v>20</v>
      </c>
      <c r="D46" s="31">
        <v>1416.5251062284369</v>
      </c>
    </row>
    <row r="47" spans="1:4">
      <c r="A47" s="3" t="s">
        <v>86</v>
      </c>
      <c r="B47" s="3" t="s">
        <v>103</v>
      </c>
      <c r="C47" s="3" t="s">
        <v>41</v>
      </c>
      <c r="D47" s="31">
        <v>1362.9430376859495</v>
      </c>
    </row>
    <row r="48" spans="1:4">
      <c r="A48" s="3" t="s">
        <v>90</v>
      </c>
      <c r="B48" s="3" t="s">
        <v>105</v>
      </c>
      <c r="C48" s="3" t="s">
        <v>43</v>
      </c>
      <c r="D48" s="31">
        <v>1332.686587178845</v>
      </c>
    </row>
    <row r="49" spans="1:4">
      <c r="A49" s="3" t="s">
        <v>89</v>
      </c>
      <c r="B49" s="3" t="s">
        <v>104</v>
      </c>
      <c r="C49" s="3" t="s">
        <v>47</v>
      </c>
      <c r="D49" s="31">
        <v>1290.2289053999198</v>
      </c>
    </row>
    <row r="50" spans="1:4">
      <c r="A50" s="3" t="s">
        <v>92</v>
      </c>
      <c r="B50" s="3" t="s">
        <v>102</v>
      </c>
      <c r="C50" s="3" t="s">
        <v>40</v>
      </c>
      <c r="D50" s="31">
        <v>1270.8004211516568</v>
      </c>
    </row>
    <row r="51" spans="1:4">
      <c r="A51" s="3" t="s">
        <v>92</v>
      </c>
      <c r="B51" s="3" t="s">
        <v>106</v>
      </c>
      <c r="C51" s="3" t="s">
        <v>44</v>
      </c>
      <c r="D51" s="31">
        <v>1211.3757673916034</v>
      </c>
    </row>
  </sheetData>
  <sortState ref="A2:D51">
    <sortCondition descending="1" ref="D2:D5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J2"/>
  <sheetViews>
    <sheetView zoomScale="115" zoomScaleNormal="115" workbookViewId="0">
      <selection activeCell="B2" sqref="B2"/>
    </sheetView>
  </sheetViews>
  <sheetFormatPr defaultRowHeight="15"/>
  <cols>
    <col min="7" max="7" width="11" bestFit="1" customWidth="1"/>
    <col min="9" max="9" width="10.33203125" bestFit="1" customWidth="1"/>
  </cols>
  <sheetData>
    <row r="1" spans="1:10" ht="20.25" thickBo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80</v>
      </c>
      <c r="F1" s="37" t="s">
        <v>81</v>
      </c>
      <c r="G1" s="37" t="s">
        <v>5</v>
      </c>
      <c r="H1" s="37" t="s">
        <v>9</v>
      </c>
      <c r="I1" s="37" t="s">
        <v>6</v>
      </c>
      <c r="J1" s="37" t="s">
        <v>7</v>
      </c>
    </row>
    <row r="2" spans="1:10" ht="15.75" thickTop="1">
      <c r="A2">
        <v>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"/>
  <sheetViews>
    <sheetView workbookViewId="0">
      <selection activeCell="Q10" sqref="Q10"/>
    </sheetView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E10"/>
  <sheetViews>
    <sheetView tabSelected="1" zoomScale="115" zoomScaleNormal="115" workbookViewId="0">
      <selection activeCell="A3" sqref="A3:E8"/>
    </sheetView>
  </sheetViews>
  <sheetFormatPr defaultRowHeight="15"/>
  <cols>
    <col min="1" max="1" width="18.44140625" bestFit="1" customWidth="1"/>
    <col min="2" max="5" width="11.88671875" bestFit="1" customWidth="1"/>
    <col min="7" max="7" width="17.88671875" customWidth="1"/>
  </cols>
  <sheetData>
    <row r="1" spans="1:5" ht="20.25" thickBot="1">
      <c r="B1" s="38" t="s">
        <v>87</v>
      </c>
      <c r="C1" s="38"/>
      <c r="D1" s="38"/>
      <c r="E1" s="38"/>
    </row>
    <row r="2" spans="1:5" ht="15.75" thickTop="1"/>
    <row r="3" spans="1:5">
      <c r="A3" s="14" t="s">
        <v>95</v>
      </c>
      <c r="B3" s="15" t="s">
        <v>82</v>
      </c>
      <c r="C3" s="15" t="s">
        <v>83</v>
      </c>
      <c r="D3" s="15" t="s">
        <v>84</v>
      </c>
      <c r="E3" s="16" t="s">
        <v>85</v>
      </c>
    </row>
    <row r="4" spans="1:5" ht="28.15" customHeight="1">
      <c r="A4" s="17" t="s">
        <v>86</v>
      </c>
      <c r="B4" s="18">
        <v>39278.821010154294</v>
      </c>
      <c r="C4" s="18">
        <v>43924.438493547685</v>
      </c>
      <c r="D4" s="18">
        <v>33404.544307259712</v>
      </c>
      <c r="E4" s="19">
        <v>41515.457996515608</v>
      </c>
    </row>
    <row r="5" spans="1:5" ht="28.15" customHeight="1">
      <c r="A5" s="17" t="s">
        <v>88</v>
      </c>
      <c r="B5" s="18">
        <v>34914.685203881876</v>
      </c>
      <c r="C5" s="18">
        <v>41707.992437982466</v>
      </c>
      <c r="D5" s="18">
        <v>39965.872796016993</v>
      </c>
      <c r="E5" s="19">
        <v>47214.930416041803</v>
      </c>
    </row>
    <row r="6" spans="1:5" ht="28.15" customHeight="1">
      <c r="A6" s="17" t="s">
        <v>89</v>
      </c>
      <c r="B6" s="18">
        <v>40181.063595002503</v>
      </c>
      <c r="C6" s="18">
        <v>45641.526242307773</v>
      </c>
      <c r="D6" s="18">
        <v>44039.458035910095</v>
      </c>
      <c r="E6" s="19">
        <v>38601.736429369543</v>
      </c>
    </row>
    <row r="7" spans="1:5" ht="28.15" customHeight="1">
      <c r="A7" s="17" t="s">
        <v>90</v>
      </c>
      <c r="B7" s="18">
        <v>40392.80091210558</v>
      </c>
      <c r="C7" s="18">
        <v>40238.329022010861</v>
      </c>
      <c r="D7" s="18">
        <v>47853.084461365201</v>
      </c>
      <c r="E7" s="19">
        <v>44495.534452183703</v>
      </c>
    </row>
    <row r="8" spans="1:5" ht="28.15" customHeight="1">
      <c r="A8" s="20" t="s">
        <v>92</v>
      </c>
      <c r="B8" s="21">
        <v>43207.851098629952</v>
      </c>
      <c r="C8" s="21">
        <v>35832.370042746727</v>
      </c>
      <c r="D8" s="21">
        <v>39771.216509242498</v>
      </c>
      <c r="E8" s="22">
        <v>38285.563927794828</v>
      </c>
    </row>
    <row r="9" spans="1:5" ht="28.15" customHeight="1">
      <c r="A9" s="17"/>
      <c r="B9" s="18"/>
      <c r="C9" s="18"/>
      <c r="D9" s="18"/>
      <c r="E9" s="19"/>
    </row>
    <row r="10" spans="1:5" ht="15.75">
      <c r="A10" t="s">
        <v>96</v>
      </c>
      <c r="B10" s="23">
        <f>SUM(B4:B9)</f>
        <v>197975.22181977419</v>
      </c>
      <c r="C10" s="23">
        <f>SUM(C4:C9)</f>
        <v>207344.65623859549</v>
      </c>
      <c r="D10" s="23">
        <f>SUM(D4:D9)</f>
        <v>205034.17610979447</v>
      </c>
      <c r="E10" s="23">
        <f>SUM(E4:E9)</f>
        <v>210113.2232219055</v>
      </c>
    </row>
  </sheetData>
  <dataConsolidate leftLabels="1" topLabels="1">
    <dataRefs count="3">
      <dataRef ref="A3:E8" sheet="California"/>
      <dataRef ref="A3:E8" sheet="Oregon"/>
      <dataRef ref="A3:E8" sheet="Washington"/>
    </dataRefs>
  </dataConsolidate>
  <mergeCells count="1">
    <mergeCell ref="B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E8"/>
  <sheetViews>
    <sheetView workbookViewId="0">
      <selection activeCell="A8" sqref="A8"/>
    </sheetView>
  </sheetViews>
  <sheetFormatPr defaultRowHeight="15"/>
  <cols>
    <col min="1" max="1" width="18.44140625" bestFit="1" customWidth="1"/>
    <col min="2" max="5" width="9.88671875" bestFit="1" customWidth="1"/>
  </cols>
  <sheetData>
    <row r="1" spans="1:5" ht="20.25" thickBot="1">
      <c r="B1" s="38" t="s">
        <v>91</v>
      </c>
      <c r="C1" s="38"/>
      <c r="D1" s="38"/>
      <c r="E1" s="38"/>
    </row>
    <row r="2" spans="1:5" ht="15.75" thickTop="1"/>
    <row r="3" spans="1:5">
      <c r="A3" s="13" t="s">
        <v>95</v>
      </c>
      <c r="B3" s="13" t="s">
        <v>82</v>
      </c>
      <c r="C3" s="13" t="s">
        <v>83</v>
      </c>
      <c r="D3" s="13" t="s">
        <v>84</v>
      </c>
      <c r="E3" s="13" t="s">
        <v>85</v>
      </c>
    </row>
    <row r="4" spans="1:5">
      <c r="A4" t="s">
        <v>86</v>
      </c>
      <c r="B4" s="10">
        <v>17937.125210924965</v>
      </c>
      <c r="C4" s="10">
        <v>11373.863460203989</v>
      </c>
      <c r="D4" s="10">
        <v>12184.144143209618</v>
      </c>
      <c r="E4" s="10">
        <v>13931.674952669637</v>
      </c>
    </row>
    <row r="5" spans="1:5">
      <c r="A5" t="s">
        <v>88</v>
      </c>
      <c r="B5" s="10">
        <v>10982.287011015909</v>
      </c>
      <c r="C5" s="10">
        <v>11329.064361829787</v>
      </c>
      <c r="D5" s="10">
        <v>14374.848239061776</v>
      </c>
      <c r="E5" s="10">
        <v>13629.734643183314</v>
      </c>
    </row>
    <row r="6" spans="1:5">
      <c r="A6" t="s">
        <v>89</v>
      </c>
      <c r="B6" s="10">
        <v>15637.262364453381</v>
      </c>
      <c r="C6" s="10">
        <v>14219.0705798411</v>
      </c>
      <c r="D6" s="10">
        <v>17302.729925149837</v>
      </c>
      <c r="E6" s="10">
        <v>9528.5736572032401</v>
      </c>
    </row>
    <row r="7" spans="1:5">
      <c r="A7" t="s">
        <v>90</v>
      </c>
      <c r="B7" s="10">
        <v>9765.7534419213116</v>
      </c>
      <c r="C7" s="10">
        <v>15264.650014096107</v>
      </c>
      <c r="D7" s="10">
        <v>15562.017116326158</v>
      </c>
      <c r="E7" s="10">
        <v>17951.283431105388</v>
      </c>
    </row>
    <row r="8" spans="1:5">
      <c r="A8" t="s">
        <v>92</v>
      </c>
      <c r="B8" s="10">
        <v>17868.559294302202</v>
      </c>
      <c r="C8" s="10">
        <v>11374.793749869186</v>
      </c>
      <c r="D8" s="10">
        <v>9693.964004445199</v>
      </c>
      <c r="E8" s="10">
        <v>12625.27317775098</v>
      </c>
    </row>
  </sheetData>
  <mergeCells count="1">
    <mergeCell ref="B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E8"/>
  <sheetViews>
    <sheetView workbookViewId="0">
      <selection activeCell="D5" sqref="D5"/>
    </sheetView>
  </sheetViews>
  <sheetFormatPr defaultRowHeight="15"/>
  <cols>
    <col min="1" max="1" width="18.44140625" bestFit="1" customWidth="1"/>
    <col min="2" max="5" width="9.88671875" bestFit="1" customWidth="1"/>
  </cols>
  <sheetData>
    <row r="1" spans="1:5" ht="20.25" thickBot="1">
      <c r="B1" s="38" t="s">
        <v>94</v>
      </c>
      <c r="C1" s="38"/>
      <c r="D1" s="38"/>
      <c r="E1" s="38"/>
    </row>
    <row r="2" spans="1:5" ht="15.75" thickTop="1"/>
    <row r="3" spans="1:5">
      <c r="A3" s="12" t="s">
        <v>95</v>
      </c>
      <c r="B3" s="13" t="s">
        <v>82</v>
      </c>
      <c r="C3" s="13" t="s">
        <v>83</v>
      </c>
      <c r="D3" s="13" t="s">
        <v>84</v>
      </c>
      <c r="E3" s="13" t="s">
        <v>85</v>
      </c>
    </row>
    <row r="4" spans="1:5">
      <c r="A4" t="s">
        <v>86</v>
      </c>
      <c r="B4" s="10">
        <v>11688.465908836344</v>
      </c>
      <c r="C4" s="10">
        <v>17707.921415423065</v>
      </c>
      <c r="D4" s="10">
        <v>11880.914721629426</v>
      </c>
      <c r="E4" s="10">
        <v>13333.55389623364</v>
      </c>
    </row>
    <row r="5" spans="1:5">
      <c r="A5" t="s">
        <v>88</v>
      </c>
      <c r="B5" s="10">
        <v>12740.14648160584</v>
      </c>
      <c r="C5" s="10">
        <v>17662.289152080513</v>
      </c>
      <c r="D5" s="10">
        <v>10725.713383424038</v>
      </c>
      <c r="E5" s="10">
        <v>16230.289631543528</v>
      </c>
    </row>
    <row r="6" spans="1:5">
      <c r="A6" t="s">
        <v>89</v>
      </c>
      <c r="B6" s="10">
        <v>12671.807002615653</v>
      </c>
      <c r="C6" s="10">
        <v>16683.465596503895</v>
      </c>
      <c r="D6" s="10">
        <v>13753.406318234407</v>
      </c>
      <c r="E6" s="10">
        <v>17651.977025119228</v>
      </c>
    </row>
    <row r="7" spans="1:5">
      <c r="A7" t="s">
        <v>90</v>
      </c>
      <c r="B7" s="10">
        <v>16626.856154514753</v>
      </c>
      <c r="C7" s="10">
        <v>10603.142695167237</v>
      </c>
      <c r="D7" s="10">
        <v>14624.996563113575</v>
      </c>
      <c r="E7" s="10">
        <v>11552.624912425927</v>
      </c>
    </row>
    <row r="8" spans="1:5">
      <c r="A8" t="s">
        <v>92</v>
      </c>
      <c r="B8" s="10">
        <v>16276.327584077266</v>
      </c>
      <c r="C8" s="10">
        <v>9634.0417044446476</v>
      </c>
      <c r="D8" s="10">
        <v>15241.250758928581</v>
      </c>
      <c r="E8" s="10">
        <v>9845.4616471143163</v>
      </c>
    </row>
  </sheetData>
  <mergeCells count="1">
    <mergeCell ref="B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E8"/>
  <sheetViews>
    <sheetView workbookViewId="0">
      <selection activeCell="E13" sqref="E13"/>
    </sheetView>
  </sheetViews>
  <sheetFormatPr defaultRowHeight="15"/>
  <cols>
    <col min="1" max="1" width="18.44140625" bestFit="1" customWidth="1"/>
    <col min="2" max="5" width="9.88671875" bestFit="1" customWidth="1"/>
  </cols>
  <sheetData>
    <row r="1" spans="1:5" ht="20.25" thickBot="1">
      <c r="B1" s="38" t="s">
        <v>93</v>
      </c>
      <c r="C1" s="38"/>
      <c r="D1" s="38"/>
      <c r="E1" s="38"/>
    </row>
    <row r="2" spans="1:5" ht="15.75" thickTop="1"/>
    <row r="3" spans="1:5">
      <c r="A3" s="12" t="s">
        <v>95</v>
      </c>
      <c r="B3" s="13" t="s">
        <v>82</v>
      </c>
      <c r="C3" s="13" t="s">
        <v>83</v>
      </c>
      <c r="D3" s="13" t="s">
        <v>84</v>
      </c>
      <c r="E3" s="13" t="s">
        <v>85</v>
      </c>
    </row>
    <row r="4" spans="1:5">
      <c r="A4" t="s">
        <v>86</v>
      </c>
      <c r="B4" s="10">
        <v>9653.2298903929877</v>
      </c>
      <c r="C4" s="10">
        <v>14842.65361792063</v>
      </c>
      <c r="D4" s="10">
        <v>9339.4854424206678</v>
      </c>
      <c r="E4" s="10">
        <v>14250.229147612332</v>
      </c>
    </row>
    <row r="5" spans="1:5">
      <c r="A5" t="s">
        <v>88</v>
      </c>
      <c r="B5" s="10">
        <v>11192.251711260131</v>
      </c>
      <c r="C5" s="10">
        <v>12716.638924072162</v>
      </c>
      <c r="D5" s="10">
        <v>14865.311173531183</v>
      </c>
      <c r="E5" s="10">
        <v>17354.906141314961</v>
      </c>
    </row>
    <row r="6" spans="1:5">
      <c r="A6" t="s">
        <v>89</v>
      </c>
      <c r="B6" s="10">
        <v>11871.994227933468</v>
      </c>
      <c r="C6" s="10">
        <v>14738.990065962778</v>
      </c>
      <c r="D6" s="10">
        <v>12983.321792525847</v>
      </c>
      <c r="E6" s="10">
        <v>11421.185747047075</v>
      </c>
    </row>
    <row r="7" spans="1:5">
      <c r="A7" t="s">
        <v>90</v>
      </c>
      <c r="B7" s="10">
        <v>14000.191315669512</v>
      </c>
      <c r="C7" s="10">
        <v>14370.536312747521</v>
      </c>
      <c r="D7" s="10">
        <v>17666.070781925464</v>
      </c>
      <c r="E7" s="10">
        <v>14991.626108652388</v>
      </c>
    </row>
    <row r="8" spans="1:5">
      <c r="A8" t="s">
        <v>92</v>
      </c>
      <c r="B8" s="10">
        <v>9062.9642202504801</v>
      </c>
      <c r="C8" s="10">
        <v>14823.534588432889</v>
      </c>
      <c r="D8" s="10">
        <v>14836.001745868718</v>
      </c>
      <c r="E8" s="10">
        <v>15814.829102929532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Text Functions</vt:lpstr>
      <vt:lpstr>Formulas</vt:lpstr>
      <vt:lpstr>Functions</vt:lpstr>
      <vt:lpstr>Xlookup</vt:lpstr>
      <vt:lpstr>Charts</vt:lpstr>
      <vt:lpstr>Consolidation</vt:lpstr>
      <vt:lpstr>California</vt:lpstr>
      <vt:lpstr>Washington</vt:lpstr>
      <vt:lpstr>Oregon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Wilke</dc:creator>
  <cp:lastModifiedBy>hp</cp:lastModifiedBy>
  <dcterms:created xsi:type="dcterms:W3CDTF">2024-05-23T18:37:28Z</dcterms:created>
  <dcterms:modified xsi:type="dcterms:W3CDTF">2025-10-29T02:18:05Z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2024-05-23T18:44:32Z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cd5097bf-36ed-4432-a229-ea9b322fa882</vt:lpwstr>
  </property>
  <property fmtid="{D5CDD505-2E9C-101B-9397-08002B2CF9AE}" pid="7" name="MSIP_Label_defa4170-0d19-0005-0004-bc88714345d2_ActionId">
    <vt:lpwstr>0fe69463-b3ec-4f3a-8ce4-ddbde8587b20</vt:lpwstr>
  </property>
  <property fmtid="{D5CDD505-2E9C-101B-9397-08002B2CF9AE}" pid="8" name="MSIP_Label_defa4170-0d19-0005-0004-bc88714345d2_ContentBits">
    <vt:lpwstr>0</vt:lpwstr>
  </property>
</Properties>
</file>