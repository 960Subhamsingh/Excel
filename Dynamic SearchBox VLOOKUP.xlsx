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svg" ContentType="image/svg+xm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620" activeTab="1"/>
  </bookViews>
  <sheets>
    <sheet name="SearchBox" sheetId="2" r:id="rId1"/>
    <sheet name="Data" sheetId="1" r:id="rId2"/>
  </sheets>
  <definedNames>
    <definedName name="_xlnm._FilterDatabase" localSheetId="1" hidden="1">Data!$A$2:$H$69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3" i="1"/>
  <c r="G3" i="2" s="1"/>
  <c r="A1" i="2" l="1"/>
  <c r="B7" i="2" l="1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9" i="2"/>
  <c r="B17" i="2"/>
  <c r="B25" i="2"/>
  <c r="B33" i="2"/>
  <c r="B41" i="2"/>
  <c r="B49" i="2"/>
  <c r="B57" i="2"/>
  <c r="B65" i="2"/>
  <c r="B73" i="2"/>
  <c r="B81" i="2"/>
  <c r="B89" i="2"/>
  <c r="B97" i="2"/>
  <c r="B105" i="2"/>
  <c r="B113" i="2"/>
  <c r="B121" i="2"/>
  <c r="B12" i="2"/>
  <c r="B13" i="2"/>
  <c r="B21" i="2"/>
  <c r="B29" i="2"/>
  <c r="B37" i="2"/>
  <c r="B45" i="2"/>
  <c r="B53" i="2"/>
  <c r="B61" i="2"/>
  <c r="B69" i="2"/>
  <c r="B77" i="2"/>
  <c r="B85" i="2"/>
  <c r="B93" i="2"/>
  <c r="B101" i="2"/>
  <c r="B109" i="2"/>
  <c r="B117" i="2"/>
  <c r="B125" i="2"/>
  <c r="B10" i="2"/>
  <c r="B27" i="2"/>
  <c r="B43" i="2"/>
  <c r="B59" i="2"/>
  <c r="B75" i="2"/>
  <c r="B91" i="2"/>
  <c r="B107" i="2"/>
  <c r="B123" i="2"/>
  <c r="B133" i="2"/>
  <c r="B142" i="2"/>
  <c r="B152" i="2"/>
  <c r="B161" i="2"/>
  <c r="B170" i="2"/>
  <c r="B179" i="2"/>
  <c r="B188" i="2"/>
  <c r="B197" i="2"/>
  <c r="B11" i="2"/>
  <c r="B28" i="2"/>
  <c r="B44" i="2"/>
  <c r="B60" i="2"/>
  <c r="B76" i="2"/>
  <c r="B92" i="2"/>
  <c r="B108" i="2"/>
  <c r="B124" i="2"/>
  <c r="B134" i="2"/>
  <c r="B144" i="2"/>
  <c r="B153" i="2"/>
  <c r="B162" i="2"/>
  <c r="B171" i="2"/>
  <c r="B180" i="2"/>
  <c r="B189" i="2"/>
  <c r="B198" i="2"/>
  <c r="B14" i="2"/>
  <c r="H14" i="2" s="1"/>
  <c r="B30" i="2"/>
  <c r="B46" i="2"/>
  <c r="B62" i="2"/>
  <c r="B78" i="2"/>
  <c r="B94" i="2"/>
  <c r="B110" i="2"/>
  <c r="B126" i="2"/>
  <c r="B136" i="2"/>
  <c r="B145" i="2"/>
  <c r="B154" i="2"/>
  <c r="B163" i="2"/>
  <c r="B172" i="2"/>
  <c r="B181" i="2"/>
  <c r="B190" i="2"/>
  <c r="B6" i="2"/>
  <c r="C6" i="2" s="1"/>
  <c r="B18" i="2"/>
  <c r="B34" i="2"/>
  <c r="B50" i="2"/>
  <c r="B66" i="2"/>
  <c r="B82" i="2"/>
  <c r="B20" i="2"/>
  <c r="B36" i="2"/>
  <c r="B52" i="2"/>
  <c r="B68" i="2"/>
  <c r="B84" i="2"/>
  <c r="B22" i="2"/>
  <c r="B38" i="2"/>
  <c r="B54" i="2"/>
  <c r="B70" i="2"/>
  <c r="B86" i="2"/>
  <c r="B102" i="2"/>
  <c r="B118" i="2"/>
  <c r="B131" i="2"/>
  <c r="B140" i="2"/>
  <c r="B149" i="2"/>
  <c r="B158" i="2"/>
  <c r="B168" i="2"/>
  <c r="B177" i="2"/>
  <c r="B186" i="2"/>
  <c r="B195" i="2"/>
  <c r="B19" i="2"/>
  <c r="B83" i="2"/>
  <c r="B116" i="2"/>
  <c r="B139" i="2"/>
  <c r="B157" i="2"/>
  <c r="B176" i="2"/>
  <c r="B194" i="2"/>
  <c r="B26" i="2"/>
  <c r="B42" i="2"/>
  <c r="B99" i="2"/>
  <c r="B129" i="2"/>
  <c r="B147" i="2"/>
  <c r="B165" i="2"/>
  <c r="B184" i="2"/>
  <c r="B58" i="2"/>
  <c r="B106" i="2"/>
  <c r="B132" i="2"/>
  <c r="B150" i="2"/>
  <c r="B169" i="2"/>
  <c r="B187" i="2"/>
  <c r="B35" i="2"/>
  <c r="B115" i="2"/>
  <c r="B148" i="2"/>
  <c r="B178" i="2"/>
  <c r="B51" i="2"/>
  <c r="B122" i="2"/>
  <c r="B155" i="2"/>
  <c r="B182" i="2"/>
  <c r="B74" i="2"/>
  <c r="B130" i="2"/>
  <c r="B160" i="2"/>
  <c r="B192" i="2"/>
  <c r="B98" i="2"/>
  <c r="B138" i="2"/>
  <c r="B166" i="2"/>
  <c r="B196" i="2"/>
  <c r="B100" i="2"/>
  <c r="B141" i="2"/>
  <c r="B173" i="2"/>
  <c r="B67" i="2"/>
  <c r="B174" i="2"/>
  <c r="B90" i="2"/>
  <c r="B185" i="2"/>
  <c r="B114" i="2"/>
  <c r="B193" i="2"/>
  <c r="B128" i="2"/>
  <c r="B137" i="2"/>
  <c r="B164" i="2"/>
  <c r="B146" i="2"/>
  <c r="B156" i="2"/>
  <c r="G26" i="2" l="1"/>
  <c r="I26" i="2"/>
  <c r="F26" i="2"/>
  <c r="C26" i="2"/>
  <c r="E26" i="2"/>
  <c r="H26" i="2"/>
  <c r="D26" i="2"/>
  <c r="E133" i="2"/>
  <c r="G133" i="2"/>
  <c r="C133" i="2"/>
  <c r="H133" i="2"/>
  <c r="F133" i="2"/>
  <c r="D133" i="2"/>
  <c r="I133" i="2"/>
  <c r="F6" i="2"/>
  <c r="G6" i="2"/>
  <c r="I6" i="2"/>
  <c r="D6" i="2"/>
  <c r="H6" i="2"/>
  <c r="E6" i="2"/>
  <c r="G124" i="2"/>
  <c r="I124" i="2"/>
  <c r="E124" i="2"/>
  <c r="C124" i="2"/>
  <c r="D124" i="2"/>
  <c r="H124" i="2"/>
  <c r="F124" i="2"/>
  <c r="C125" i="2"/>
  <c r="G125" i="2"/>
  <c r="F125" i="2"/>
  <c r="I125" i="2"/>
  <c r="D125" i="2"/>
  <c r="H125" i="2"/>
  <c r="E125" i="2"/>
  <c r="C121" i="2"/>
  <c r="G121" i="2"/>
  <c r="E121" i="2"/>
  <c r="I121" i="2"/>
  <c r="H121" i="2"/>
  <c r="D121" i="2"/>
  <c r="F121" i="2"/>
  <c r="H55" i="2"/>
  <c r="C55" i="2"/>
  <c r="D55" i="2"/>
  <c r="I55" i="2"/>
  <c r="F55" i="2"/>
  <c r="G55" i="2"/>
  <c r="E55" i="2"/>
  <c r="D118" i="2"/>
  <c r="F118" i="2"/>
  <c r="G118" i="2"/>
  <c r="E118" i="2"/>
  <c r="H118" i="2"/>
  <c r="C118" i="2"/>
  <c r="I118" i="2"/>
  <c r="E134" i="2"/>
  <c r="G134" i="2"/>
  <c r="I134" i="2"/>
  <c r="C134" i="2"/>
  <c r="F134" i="2"/>
  <c r="D134" i="2"/>
  <c r="H134" i="2"/>
  <c r="G65" i="2"/>
  <c r="I65" i="2"/>
  <c r="F65" i="2"/>
  <c r="C65" i="2"/>
  <c r="D65" i="2"/>
  <c r="H65" i="2"/>
  <c r="E65" i="2"/>
  <c r="F58" i="2"/>
  <c r="G58" i="2"/>
  <c r="C58" i="2"/>
  <c r="H58" i="2"/>
  <c r="E58" i="2"/>
  <c r="D58" i="2"/>
  <c r="I58" i="2"/>
  <c r="H52" i="2"/>
  <c r="C52" i="2"/>
  <c r="I52" i="2"/>
  <c r="D52" i="2"/>
  <c r="G52" i="2"/>
  <c r="E52" i="2"/>
  <c r="F52" i="2"/>
  <c r="E123" i="2"/>
  <c r="G123" i="2"/>
  <c r="I123" i="2"/>
  <c r="H123" i="2"/>
  <c r="D123" i="2"/>
  <c r="F123" i="2"/>
  <c r="C123" i="2"/>
  <c r="D61" i="2"/>
  <c r="C61" i="2"/>
  <c r="H61" i="2"/>
  <c r="E61" i="2"/>
  <c r="I61" i="2"/>
  <c r="F61" i="2"/>
  <c r="G61" i="2"/>
  <c r="D57" i="2"/>
  <c r="H57" i="2"/>
  <c r="F57" i="2"/>
  <c r="C57" i="2"/>
  <c r="G57" i="2"/>
  <c r="I57" i="2"/>
  <c r="E57" i="2"/>
  <c r="I112" i="2"/>
  <c r="F112" i="2"/>
  <c r="G112" i="2"/>
  <c r="C112" i="2"/>
  <c r="D112" i="2"/>
  <c r="H112" i="2"/>
  <c r="E112" i="2"/>
  <c r="C48" i="2"/>
  <c r="I48" i="2"/>
  <c r="G48" i="2"/>
  <c r="E48" i="2"/>
  <c r="H48" i="2"/>
  <c r="F48" i="2"/>
  <c r="D48" i="2"/>
  <c r="H119" i="2"/>
  <c r="F119" i="2"/>
  <c r="I119" i="2"/>
  <c r="G119" i="2"/>
  <c r="E119" i="2"/>
  <c r="C119" i="2"/>
  <c r="D119" i="2"/>
  <c r="C128" i="2"/>
  <c r="G128" i="2"/>
  <c r="I128" i="2"/>
  <c r="F128" i="2"/>
  <c r="H128" i="2"/>
  <c r="D128" i="2"/>
  <c r="E128" i="2"/>
  <c r="D141" i="2"/>
  <c r="E141" i="2"/>
  <c r="I141" i="2"/>
  <c r="G141" i="2"/>
  <c r="F141" i="2"/>
  <c r="H141" i="2"/>
  <c r="C141" i="2"/>
  <c r="D130" i="2"/>
  <c r="H130" i="2"/>
  <c r="I130" i="2"/>
  <c r="C130" i="2"/>
  <c r="E130" i="2"/>
  <c r="F130" i="2"/>
  <c r="G130" i="2"/>
  <c r="I115" i="2"/>
  <c r="D115" i="2"/>
  <c r="C115" i="2"/>
  <c r="G115" i="2"/>
  <c r="F115" i="2"/>
  <c r="H115" i="2"/>
  <c r="E115" i="2"/>
  <c r="I86" i="2"/>
  <c r="C86" i="2"/>
  <c r="G86" i="2"/>
  <c r="F86" i="2"/>
  <c r="D86" i="2"/>
  <c r="E86" i="2"/>
  <c r="H86" i="2"/>
  <c r="D36" i="2"/>
  <c r="F36" i="2"/>
  <c r="G36" i="2"/>
  <c r="H36" i="2"/>
  <c r="E36" i="2"/>
  <c r="C36" i="2"/>
  <c r="I36" i="2"/>
  <c r="G110" i="2"/>
  <c r="D110" i="2"/>
  <c r="F110" i="2"/>
  <c r="E110" i="2"/>
  <c r="I110" i="2"/>
  <c r="C110" i="2"/>
  <c r="H110" i="2"/>
  <c r="C108" i="2"/>
  <c r="D108" i="2"/>
  <c r="F108" i="2"/>
  <c r="E108" i="2"/>
  <c r="H108" i="2"/>
  <c r="I108" i="2"/>
  <c r="G108" i="2"/>
  <c r="D107" i="2"/>
  <c r="G107" i="2"/>
  <c r="F107" i="2"/>
  <c r="C107" i="2"/>
  <c r="H107" i="2"/>
  <c r="I107" i="2"/>
  <c r="E107" i="2"/>
  <c r="C117" i="2"/>
  <c r="G117" i="2"/>
  <c r="I117" i="2"/>
  <c r="H117" i="2"/>
  <c r="F117" i="2"/>
  <c r="E117" i="2"/>
  <c r="D117" i="2"/>
  <c r="C53" i="2"/>
  <c r="I53" i="2"/>
  <c r="E53" i="2"/>
  <c r="F53" i="2"/>
  <c r="H53" i="2"/>
  <c r="D53" i="2"/>
  <c r="G53" i="2"/>
  <c r="D113" i="2"/>
  <c r="E113" i="2"/>
  <c r="F113" i="2"/>
  <c r="I113" i="2"/>
  <c r="G113" i="2"/>
  <c r="H113" i="2"/>
  <c r="C113" i="2"/>
  <c r="D49" i="2"/>
  <c r="C49" i="2"/>
  <c r="G49" i="2"/>
  <c r="H49" i="2"/>
  <c r="E49" i="2"/>
  <c r="I49" i="2"/>
  <c r="F49" i="2"/>
  <c r="C104" i="2"/>
  <c r="H104" i="2"/>
  <c r="G104" i="2"/>
  <c r="E104" i="2"/>
  <c r="D104" i="2"/>
  <c r="F104" i="2"/>
  <c r="I104" i="2"/>
  <c r="E40" i="2"/>
  <c r="I40" i="2"/>
  <c r="D40" i="2"/>
  <c r="F40" i="2"/>
  <c r="G40" i="2"/>
  <c r="C40" i="2"/>
  <c r="H40" i="2"/>
  <c r="C111" i="2"/>
  <c r="H111" i="2"/>
  <c r="G111" i="2"/>
  <c r="I111" i="2"/>
  <c r="F111" i="2"/>
  <c r="E111" i="2"/>
  <c r="D111" i="2"/>
  <c r="F47" i="2"/>
  <c r="H47" i="2"/>
  <c r="C47" i="2"/>
  <c r="I47" i="2"/>
  <c r="D47" i="2"/>
  <c r="G47" i="2"/>
  <c r="E47" i="2"/>
  <c r="G67" i="2"/>
  <c r="C67" i="2"/>
  <c r="I67" i="2"/>
  <c r="D67" i="2"/>
  <c r="E67" i="2"/>
  <c r="H67" i="2"/>
  <c r="F67" i="2"/>
  <c r="D136" i="2"/>
  <c r="E136" i="2"/>
  <c r="H136" i="2"/>
  <c r="G136" i="2"/>
  <c r="F136" i="2"/>
  <c r="I136" i="2"/>
  <c r="C136" i="2"/>
  <c r="I69" i="2"/>
  <c r="D69" i="2"/>
  <c r="E69" i="2"/>
  <c r="G69" i="2"/>
  <c r="F69" i="2"/>
  <c r="H69" i="2"/>
  <c r="C69" i="2"/>
  <c r="E127" i="2"/>
  <c r="F127" i="2"/>
  <c r="C127" i="2"/>
  <c r="I127" i="2"/>
  <c r="G127" i="2"/>
  <c r="H127" i="2"/>
  <c r="D127" i="2"/>
  <c r="F102" i="2"/>
  <c r="H102" i="2"/>
  <c r="I102" i="2"/>
  <c r="D102" i="2"/>
  <c r="G102" i="2"/>
  <c r="E102" i="2"/>
  <c r="C102" i="2"/>
  <c r="H126" i="2"/>
  <c r="E126" i="2"/>
  <c r="G126" i="2"/>
  <c r="C126" i="2"/>
  <c r="D126" i="2"/>
  <c r="I126" i="2"/>
  <c r="F126" i="2"/>
  <c r="D100" i="2"/>
  <c r="G100" i="2"/>
  <c r="C100" i="2"/>
  <c r="H100" i="2"/>
  <c r="E100" i="2"/>
  <c r="F100" i="2"/>
  <c r="I100" i="2"/>
  <c r="C74" i="2"/>
  <c r="I74" i="2"/>
  <c r="D74" i="2"/>
  <c r="E74" i="2"/>
  <c r="H74" i="2"/>
  <c r="F74" i="2"/>
  <c r="G74" i="2"/>
  <c r="C35" i="2"/>
  <c r="D35" i="2"/>
  <c r="F35" i="2"/>
  <c r="I35" i="2"/>
  <c r="H35" i="2"/>
  <c r="G35" i="2"/>
  <c r="E35" i="2"/>
  <c r="E70" i="2"/>
  <c r="D70" i="2"/>
  <c r="I70" i="2"/>
  <c r="C70" i="2"/>
  <c r="F70" i="2"/>
  <c r="G70" i="2"/>
  <c r="H70" i="2"/>
  <c r="D20" i="2"/>
  <c r="F20" i="2"/>
  <c r="H20" i="2"/>
  <c r="G20" i="2"/>
  <c r="E20" i="2"/>
  <c r="C20" i="2"/>
  <c r="I20" i="2"/>
  <c r="E94" i="2"/>
  <c r="I94" i="2"/>
  <c r="D94" i="2"/>
  <c r="H94" i="2"/>
  <c r="G94" i="2"/>
  <c r="C94" i="2"/>
  <c r="F94" i="2"/>
  <c r="C92" i="2"/>
  <c r="D92" i="2"/>
  <c r="G92" i="2"/>
  <c r="F92" i="2"/>
  <c r="I92" i="2"/>
  <c r="E92" i="2"/>
  <c r="H92" i="2"/>
  <c r="F91" i="2"/>
  <c r="C91" i="2"/>
  <c r="G91" i="2"/>
  <c r="D91" i="2"/>
  <c r="H91" i="2"/>
  <c r="E91" i="2"/>
  <c r="I91" i="2"/>
  <c r="E109" i="2"/>
  <c r="H109" i="2"/>
  <c r="I109" i="2"/>
  <c r="C109" i="2"/>
  <c r="G109" i="2"/>
  <c r="F109" i="2"/>
  <c r="D109" i="2"/>
  <c r="E45" i="2"/>
  <c r="G45" i="2"/>
  <c r="H45" i="2"/>
  <c r="D45" i="2"/>
  <c r="I45" i="2"/>
  <c r="F45" i="2"/>
  <c r="C45" i="2"/>
  <c r="I105" i="2"/>
  <c r="E105" i="2"/>
  <c r="H105" i="2"/>
  <c r="G105" i="2"/>
  <c r="F105" i="2"/>
  <c r="D105" i="2"/>
  <c r="C105" i="2"/>
  <c r="F41" i="2"/>
  <c r="D41" i="2"/>
  <c r="C41" i="2"/>
  <c r="H41" i="2"/>
  <c r="I41" i="2"/>
  <c r="E41" i="2"/>
  <c r="G41" i="2"/>
  <c r="C96" i="2"/>
  <c r="H96" i="2"/>
  <c r="G96" i="2"/>
  <c r="E96" i="2"/>
  <c r="F96" i="2"/>
  <c r="D96" i="2"/>
  <c r="I96" i="2"/>
  <c r="E32" i="2"/>
  <c r="D32" i="2"/>
  <c r="I32" i="2"/>
  <c r="C32" i="2"/>
  <c r="F32" i="2"/>
  <c r="G32" i="2"/>
  <c r="H32" i="2"/>
  <c r="H103" i="2"/>
  <c r="I103" i="2"/>
  <c r="C103" i="2"/>
  <c r="D103" i="2"/>
  <c r="G103" i="2"/>
  <c r="F103" i="2"/>
  <c r="E103" i="2"/>
  <c r="H39" i="2"/>
  <c r="C39" i="2"/>
  <c r="F39" i="2"/>
  <c r="I39" i="2"/>
  <c r="D39" i="2"/>
  <c r="E39" i="2"/>
  <c r="G39" i="2"/>
  <c r="D114" i="2"/>
  <c r="F114" i="2"/>
  <c r="G114" i="2"/>
  <c r="H114" i="2"/>
  <c r="E114" i="2"/>
  <c r="I114" i="2"/>
  <c r="C114" i="2"/>
  <c r="H147" i="2"/>
  <c r="G147" i="2"/>
  <c r="E147" i="2"/>
  <c r="C147" i="2"/>
  <c r="I147" i="2"/>
  <c r="D147" i="2"/>
  <c r="F147" i="2"/>
  <c r="C139" i="2"/>
  <c r="E139" i="2"/>
  <c r="G139" i="2"/>
  <c r="H139" i="2"/>
  <c r="I139" i="2"/>
  <c r="F139" i="2"/>
  <c r="D139" i="2"/>
  <c r="G54" i="2"/>
  <c r="E54" i="2"/>
  <c r="H54" i="2"/>
  <c r="C54" i="2"/>
  <c r="F54" i="2"/>
  <c r="I54" i="2"/>
  <c r="D54" i="2"/>
  <c r="I82" i="2"/>
  <c r="E82" i="2"/>
  <c r="C82" i="2"/>
  <c r="G82" i="2"/>
  <c r="H82" i="2"/>
  <c r="D82" i="2"/>
  <c r="F82" i="2"/>
  <c r="F78" i="2"/>
  <c r="I78" i="2"/>
  <c r="C78" i="2"/>
  <c r="D78" i="2"/>
  <c r="G78" i="2"/>
  <c r="H78" i="2"/>
  <c r="E78" i="2"/>
  <c r="C76" i="2"/>
  <c r="G76" i="2"/>
  <c r="H76" i="2"/>
  <c r="I76" i="2"/>
  <c r="F76" i="2"/>
  <c r="D76" i="2"/>
  <c r="E76" i="2"/>
  <c r="D75" i="2"/>
  <c r="I75" i="2"/>
  <c r="E75" i="2"/>
  <c r="F75" i="2"/>
  <c r="C75" i="2"/>
  <c r="H75" i="2"/>
  <c r="G75" i="2"/>
  <c r="E101" i="2"/>
  <c r="I101" i="2"/>
  <c r="D101" i="2"/>
  <c r="G101" i="2"/>
  <c r="F101" i="2"/>
  <c r="C101" i="2"/>
  <c r="H101" i="2"/>
  <c r="C37" i="2"/>
  <c r="F37" i="2"/>
  <c r="G37" i="2"/>
  <c r="I37" i="2"/>
  <c r="E37" i="2"/>
  <c r="D37" i="2"/>
  <c r="H37" i="2"/>
  <c r="D97" i="2"/>
  <c r="G97" i="2"/>
  <c r="H97" i="2"/>
  <c r="C97" i="2"/>
  <c r="F97" i="2"/>
  <c r="I97" i="2"/>
  <c r="E97" i="2"/>
  <c r="F33" i="2"/>
  <c r="D33" i="2"/>
  <c r="G33" i="2"/>
  <c r="E33" i="2"/>
  <c r="C33" i="2"/>
  <c r="I33" i="2"/>
  <c r="H33" i="2"/>
  <c r="C88" i="2"/>
  <c r="I88" i="2"/>
  <c r="E88" i="2"/>
  <c r="F88" i="2"/>
  <c r="D88" i="2"/>
  <c r="H88" i="2"/>
  <c r="G88" i="2"/>
  <c r="D24" i="2"/>
  <c r="H24" i="2"/>
  <c r="I24" i="2"/>
  <c r="E24" i="2"/>
  <c r="C24" i="2"/>
  <c r="G24" i="2"/>
  <c r="F24" i="2"/>
  <c r="F95" i="2"/>
  <c r="I95" i="2"/>
  <c r="D95" i="2"/>
  <c r="E95" i="2"/>
  <c r="H95" i="2"/>
  <c r="G95" i="2"/>
  <c r="C95" i="2"/>
  <c r="G31" i="2"/>
  <c r="D31" i="2"/>
  <c r="F31" i="2"/>
  <c r="I31" i="2"/>
  <c r="E31" i="2"/>
  <c r="H31" i="2"/>
  <c r="C31" i="2"/>
  <c r="G11" i="2"/>
  <c r="F11" i="2"/>
  <c r="E11" i="2"/>
  <c r="C11" i="2"/>
  <c r="H11" i="2"/>
  <c r="D11" i="2"/>
  <c r="I11" i="2"/>
  <c r="G56" i="2"/>
  <c r="D56" i="2"/>
  <c r="F56" i="2"/>
  <c r="I56" i="2"/>
  <c r="E56" i="2"/>
  <c r="H56" i="2"/>
  <c r="C56" i="2"/>
  <c r="E116" i="2"/>
  <c r="H116" i="2"/>
  <c r="D116" i="2"/>
  <c r="G116" i="2"/>
  <c r="C116" i="2"/>
  <c r="F116" i="2"/>
  <c r="I116" i="2"/>
  <c r="C62" i="2"/>
  <c r="F62" i="2"/>
  <c r="I62" i="2"/>
  <c r="D62" i="2"/>
  <c r="E62" i="2"/>
  <c r="G62" i="2"/>
  <c r="H62" i="2"/>
  <c r="E89" i="2"/>
  <c r="C89" i="2"/>
  <c r="H89" i="2"/>
  <c r="F89" i="2"/>
  <c r="G89" i="2"/>
  <c r="D89" i="2"/>
  <c r="I89" i="2"/>
  <c r="C23" i="2"/>
  <c r="G23" i="2"/>
  <c r="H23" i="2"/>
  <c r="E23" i="2"/>
  <c r="I23" i="2"/>
  <c r="D23" i="2"/>
  <c r="F23" i="2"/>
  <c r="E106" i="2"/>
  <c r="F106" i="2"/>
  <c r="C106" i="2"/>
  <c r="D106" i="2"/>
  <c r="G106" i="2"/>
  <c r="I106" i="2"/>
  <c r="H106" i="2"/>
  <c r="G18" i="2"/>
  <c r="D18" i="2"/>
  <c r="I18" i="2"/>
  <c r="H18" i="2"/>
  <c r="C18" i="2"/>
  <c r="E18" i="2"/>
  <c r="F18" i="2"/>
  <c r="I10" i="2"/>
  <c r="C10" i="2"/>
  <c r="G10" i="2"/>
  <c r="D10" i="2"/>
  <c r="H10" i="2"/>
  <c r="F10" i="2"/>
  <c r="E10" i="2"/>
  <c r="C63" i="2"/>
  <c r="D63" i="2"/>
  <c r="I63" i="2"/>
  <c r="G63" i="2"/>
  <c r="F63" i="2"/>
  <c r="E63" i="2"/>
  <c r="H63" i="2"/>
  <c r="C148" i="2"/>
  <c r="D148" i="2"/>
  <c r="F148" i="2"/>
  <c r="H148" i="2"/>
  <c r="I148" i="2"/>
  <c r="G148" i="2"/>
  <c r="E148" i="2"/>
  <c r="D38" i="2"/>
  <c r="G38" i="2"/>
  <c r="F38" i="2"/>
  <c r="H38" i="2"/>
  <c r="C38" i="2"/>
  <c r="E38" i="2"/>
  <c r="I38" i="2"/>
  <c r="E60" i="2"/>
  <c r="I60" i="2"/>
  <c r="G60" i="2"/>
  <c r="H60" i="2"/>
  <c r="C60" i="2"/>
  <c r="D60" i="2"/>
  <c r="F60" i="2"/>
  <c r="F59" i="2"/>
  <c r="I59" i="2"/>
  <c r="D59" i="2"/>
  <c r="H59" i="2"/>
  <c r="E59" i="2"/>
  <c r="G59" i="2"/>
  <c r="C59" i="2"/>
  <c r="E29" i="2"/>
  <c r="H29" i="2"/>
  <c r="C29" i="2"/>
  <c r="D29" i="2"/>
  <c r="G29" i="2"/>
  <c r="I29" i="2"/>
  <c r="F29" i="2"/>
  <c r="E25" i="2"/>
  <c r="H25" i="2"/>
  <c r="F25" i="2"/>
  <c r="I25" i="2"/>
  <c r="G25" i="2"/>
  <c r="C25" i="2"/>
  <c r="D25" i="2"/>
  <c r="F87" i="2"/>
  <c r="I87" i="2"/>
  <c r="C87" i="2"/>
  <c r="D87" i="2"/>
  <c r="G87" i="2"/>
  <c r="E87" i="2"/>
  <c r="H87" i="2"/>
  <c r="C90" i="2"/>
  <c r="D90" i="2"/>
  <c r="G90" i="2"/>
  <c r="H90" i="2"/>
  <c r="I90" i="2"/>
  <c r="E90" i="2"/>
  <c r="F90" i="2"/>
  <c r="D122" i="2"/>
  <c r="I122" i="2"/>
  <c r="C122" i="2"/>
  <c r="G122" i="2"/>
  <c r="E122" i="2"/>
  <c r="H122" i="2"/>
  <c r="F122" i="2"/>
  <c r="E99" i="2"/>
  <c r="F99" i="2"/>
  <c r="I99" i="2"/>
  <c r="D99" i="2"/>
  <c r="G99" i="2"/>
  <c r="C99" i="2"/>
  <c r="H99" i="2"/>
  <c r="F140" i="2"/>
  <c r="H140" i="2"/>
  <c r="D140" i="2"/>
  <c r="I140" i="2"/>
  <c r="C140" i="2"/>
  <c r="G140" i="2"/>
  <c r="E140" i="2"/>
  <c r="H50" i="2"/>
  <c r="E50" i="2"/>
  <c r="G50" i="2"/>
  <c r="F50" i="2"/>
  <c r="D50" i="2"/>
  <c r="I50" i="2"/>
  <c r="C50" i="2"/>
  <c r="D46" i="2"/>
  <c r="E46" i="2"/>
  <c r="I46" i="2"/>
  <c r="H46" i="2"/>
  <c r="C46" i="2"/>
  <c r="F46" i="2"/>
  <c r="G46" i="2"/>
  <c r="H43" i="2"/>
  <c r="F43" i="2"/>
  <c r="I43" i="2"/>
  <c r="E43" i="2"/>
  <c r="C43" i="2"/>
  <c r="D43" i="2"/>
  <c r="G43" i="2"/>
  <c r="E21" i="2"/>
  <c r="H21" i="2"/>
  <c r="D21" i="2"/>
  <c r="G21" i="2"/>
  <c r="F21" i="2"/>
  <c r="C21" i="2"/>
  <c r="I21" i="2"/>
  <c r="G17" i="2"/>
  <c r="F17" i="2"/>
  <c r="I17" i="2"/>
  <c r="D17" i="2"/>
  <c r="H17" i="2"/>
  <c r="E17" i="2"/>
  <c r="C17" i="2"/>
  <c r="I8" i="2"/>
  <c r="D8" i="2"/>
  <c r="F8" i="2"/>
  <c r="C8" i="2"/>
  <c r="E8" i="2"/>
  <c r="G8" i="2"/>
  <c r="H8" i="2"/>
  <c r="F79" i="2"/>
  <c r="D79" i="2"/>
  <c r="E79" i="2"/>
  <c r="I79" i="2"/>
  <c r="H79" i="2"/>
  <c r="G79" i="2"/>
  <c r="C79" i="2"/>
  <c r="F15" i="2"/>
  <c r="G15" i="2"/>
  <c r="H15" i="2"/>
  <c r="C15" i="2"/>
  <c r="E15" i="2"/>
  <c r="I15" i="2"/>
  <c r="D15" i="2"/>
  <c r="E68" i="2"/>
  <c r="H68" i="2"/>
  <c r="D68" i="2"/>
  <c r="C68" i="2"/>
  <c r="F68" i="2"/>
  <c r="I68" i="2"/>
  <c r="G68" i="2"/>
  <c r="D14" i="2"/>
  <c r="E14" i="2"/>
  <c r="I14" i="2"/>
  <c r="F14" i="2"/>
  <c r="C14" i="2"/>
  <c r="G14" i="2"/>
  <c r="G12" i="2"/>
  <c r="H12" i="2"/>
  <c r="F12" i="2"/>
  <c r="D12" i="2"/>
  <c r="C12" i="2"/>
  <c r="E12" i="2"/>
  <c r="I12" i="2"/>
  <c r="D120" i="2"/>
  <c r="F120" i="2"/>
  <c r="C120" i="2"/>
  <c r="G120" i="2"/>
  <c r="H120" i="2"/>
  <c r="E120" i="2"/>
  <c r="I120" i="2"/>
  <c r="I137" i="2"/>
  <c r="C137" i="2"/>
  <c r="F137" i="2"/>
  <c r="E137" i="2"/>
  <c r="G137" i="2"/>
  <c r="D137" i="2"/>
  <c r="H137" i="2"/>
  <c r="C129" i="2"/>
  <c r="I129" i="2"/>
  <c r="E129" i="2"/>
  <c r="G129" i="2"/>
  <c r="D129" i="2"/>
  <c r="H129" i="2"/>
  <c r="F129" i="2"/>
  <c r="G149" i="2"/>
  <c r="I149" i="2"/>
  <c r="D149" i="2"/>
  <c r="E149" i="2"/>
  <c r="C149" i="2"/>
  <c r="F149" i="2"/>
  <c r="H149" i="2"/>
  <c r="G66" i="2"/>
  <c r="E66" i="2"/>
  <c r="C66" i="2"/>
  <c r="I66" i="2"/>
  <c r="H66" i="2"/>
  <c r="D66" i="2"/>
  <c r="F66" i="2"/>
  <c r="D93" i="2"/>
  <c r="F93" i="2"/>
  <c r="I93" i="2"/>
  <c r="C93" i="2"/>
  <c r="H93" i="2"/>
  <c r="E93" i="2"/>
  <c r="G93" i="2"/>
  <c r="D80" i="2"/>
  <c r="I80" i="2"/>
  <c r="E80" i="2"/>
  <c r="F80" i="2"/>
  <c r="G80" i="2"/>
  <c r="C80" i="2"/>
  <c r="H80" i="2"/>
  <c r="F16" i="2"/>
  <c r="D16" i="2"/>
  <c r="H16" i="2"/>
  <c r="E16" i="2"/>
  <c r="C16" i="2"/>
  <c r="I16" i="2"/>
  <c r="G16" i="2"/>
  <c r="F151" i="2"/>
  <c r="G151" i="2"/>
  <c r="I151" i="2"/>
  <c r="D151" i="2"/>
  <c r="C151" i="2"/>
  <c r="H151" i="2"/>
  <c r="E151" i="2"/>
  <c r="D138" i="2"/>
  <c r="F138" i="2"/>
  <c r="G138" i="2"/>
  <c r="H138" i="2"/>
  <c r="C138" i="2"/>
  <c r="E138" i="2"/>
  <c r="I138" i="2"/>
  <c r="C150" i="2"/>
  <c r="E150" i="2"/>
  <c r="F150" i="2"/>
  <c r="H150" i="2"/>
  <c r="I150" i="2"/>
  <c r="G150" i="2"/>
  <c r="D150" i="2"/>
  <c r="E83" i="2"/>
  <c r="D83" i="2"/>
  <c r="G83" i="2"/>
  <c r="C83" i="2"/>
  <c r="F83" i="2"/>
  <c r="H83" i="2"/>
  <c r="I83" i="2"/>
  <c r="F22" i="2"/>
  <c r="I22" i="2"/>
  <c r="G22" i="2"/>
  <c r="H22" i="2"/>
  <c r="C22" i="2"/>
  <c r="D22" i="2"/>
  <c r="E22" i="2"/>
  <c r="H44" i="2"/>
  <c r="G44" i="2"/>
  <c r="C44" i="2"/>
  <c r="I44" i="2"/>
  <c r="D44" i="2"/>
  <c r="E44" i="2"/>
  <c r="F44" i="2"/>
  <c r="D152" i="2"/>
  <c r="E152" i="2"/>
  <c r="H152" i="2"/>
  <c r="G152" i="2"/>
  <c r="C152" i="2"/>
  <c r="F152" i="2"/>
  <c r="I152" i="2"/>
  <c r="F85" i="2"/>
  <c r="I85" i="2"/>
  <c r="H85" i="2"/>
  <c r="C85" i="2"/>
  <c r="E85" i="2"/>
  <c r="G85" i="2"/>
  <c r="D85" i="2"/>
  <c r="I81" i="2"/>
  <c r="E81" i="2"/>
  <c r="F81" i="2"/>
  <c r="D81" i="2"/>
  <c r="G81" i="2"/>
  <c r="C81" i="2"/>
  <c r="H81" i="2"/>
  <c r="F72" i="2"/>
  <c r="I72" i="2"/>
  <c r="H72" i="2"/>
  <c r="D72" i="2"/>
  <c r="G72" i="2"/>
  <c r="C72" i="2"/>
  <c r="E72" i="2"/>
  <c r="C143" i="2"/>
  <c r="D143" i="2"/>
  <c r="G143" i="2"/>
  <c r="I143" i="2"/>
  <c r="F143" i="2"/>
  <c r="E143" i="2"/>
  <c r="H143" i="2"/>
  <c r="D146" i="2"/>
  <c r="F146" i="2"/>
  <c r="G146" i="2"/>
  <c r="I146" i="2"/>
  <c r="H146" i="2"/>
  <c r="E146" i="2"/>
  <c r="C146" i="2"/>
  <c r="I98" i="2"/>
  <c r="F98" i="2"/>
  <c r="D98" i="2"/>
  <c r="C98" i="2"/>
  <c r="E98" i="2"/>
  <c r="G98" i="2"/>
  <c r="H98" i="2"/>
  <c r="G51" i="2"/>
  <c r="I51" i="2"/>
  <c r="F51" i="2"/>
  <c r="E51" i="2"/>
  <c r="C51" i="2"/>
  <c r="D51" i="2"/>
  <c r="H51" i="2"/>
  <c r="C132" i="2"/>
  <c r="F132" i="2"/>
  <c r="E132" i="2"/>
  <c r="H132" i="2"/>
  <c r="D132" i="2"/>
  <c r="I132" i="2"/>
  <c r="G132" i="2"/>
  <c r="C42" i="2"/>
  <c r="G42" i="2"/>
  <c r="F42" i="2"/>
  <c r="I42" i="2"/>
  <c r="H42" i="2"/>
  <c r="E42" i="2"/>
  <c r="D42" i="2"/>
  <c r="F19" i="2"/>
  <c r="D19" i="2"/>
  <c r="C19" i="2"/>
  <c r="E19" i="2"/>
  <c r="I19" i="2"/>
  <c r="G19" i="2"/>
  <c r="H19" i="2"/>
  <c r="F131" i="2"/>
  <c r="H131" i="2"/>
  <c r="E131" i="2"/>
  <c r="G131" i="2"/>
  <c r="C131" i="2"/>
  <c r="I131" i="2"/>
  <c r="D131" i="2"/>
  <c r="C84" i="2"/>
  <c r="D84" i="2"/>
  <c r="H84" i="2"/>
  <c r="F84" i="2"/>
  <c r="G84" i="2"/>
  <c r="E84" i="2"/>
  <c r="I84" i="2"/>
  <c r="E34" i="2"/>
  <c r="I34" i="2"/>
  <c r="C34" i="2"/>
  <c r="H34" i="2"/>
  <c r="F34" i="2"/>
  <c r="D34" i="2"/>
  <c r="G34" i="2"/>
  <c r="I145" i="2"/>
  <c r="C145" i="2"/>
  <c r="E145" i="2"/>
  <c r="F145" i="2"/>
  <c r="H145" i="2"/>
  <c r="G145" i="2"/>
  <c r="D145" i="2"/>
  <c r="G30" i="2"/>
  <c r="I30" i="2"/>
  <c r="F30" i="2"/>
  <c r="E30" i="2"/>
  <c r="H30" i="2"/>
  <c r="C30" i="2"/>
  <c r="D30" i="2"/>
  <c r="D144" i="2"/>
  <c r="E144" i="2"/>
  <c r="G144" i="2"/>
  <c r="H144" i="2"/>
  <c r="F144" i="2"/>
  <c r="C144" i="2"/>
  <c r="I144" i="2"/>
  <c r="G28" i="2"/>
  <c r="C28" i="2"/>
  <c r="E28" i="2"/>
  <c r="D28" i="2"/>
  <c r="F28" i="2"/>
  <c r="H28" i="2"/>
  <c r="I28" i="2"/>
  <c r="E142" i="2"/>
  <c r="F142" i="2"/>
  <c r="H142" i="2"/>
  <c r="C142" i="2"/>
  <c r="I142" i="2"/>
  <c r="G142" i="2"/>
  <c r="D142" i="2"/>
  <c r="E27" i="2"/>
  <c r="F27" i="2"/>
  <c r="G27" i="2"/>
  <c r="H27" i="2"/>
  <c r="D27" i="2"/>
  <c r="I27" i="2"/>
  <c r="C27" i="2"/>
  <c r="H77" i="2"/>
  <c r="C77" i="2"/>
  <c r="I77" i="2"/>
  <c r="D77" i="2"/>
  <c r="G77" i="2"/>
  <c r="F77" i="2"/>
  <c r="E77" i="2"/>
  <c r="F13" i="2"/>
  <c r="D13" i="2"/>
  <c r="I13" i="2"/>
  <c r="G13" i="2"/>
  <c r="E13" i="2"/>
  <c r="H13" i="2"/>
  <c r="C13" i="2"/>
  <c r="F73" i="2"/>
  <c r="I73" i="2"/>
  <c r="G73" i="2"/>
  <c r="C73" i="2"/>
  <c r="H73" i="2"/>
  <c r="D73" i="2"/>
  <c r="E73" i="2"/>
  <c r="I9" i="2"/>
  <c r="C9" i="2"/>
  <c r="H9" i="2"/>
  <c r="F9" i="2"/>
  <c r="D9" i="2"/>
  <c r="E9" i="2"/>
  <c r="G9" i="2"/>
  <c r="E64" i="2"/>
  <c r="H64" i="2"/>
  <c r="F64" i="2"/>
  <c r="G64" i="2"/>
  <c r="I64" i="2"/>
  <c r="C64" i="2"/>
  <c r="D64" i="2"/>
  <c r="I135" i="2"/>
  <c r="G135" i="2"/>
  <c r="C135" i="2"/>
  <c r="D135" i="2"/>
  <c r="E135" i="2"/>
  <c r="H135" i="2"/>
  <c r="F135" i="2"/>
  <c r="F71" i="2"/>
  <c r="D71" i="2"/>
  <c r="C71" i="2"/>
  <c r="H71" i="2"/>
  <c r="I71" i="2"/>
  <c r="E71" i="2"/>
  <c r="G71" i="2"/>
  <c r="E7" i="2"/>
  <c r="H7" i="2"/>
  <c r="G7" i="2"/>
  <c r="D7" i="2"/>
  <c r="C7" i="2"/>
  <c r="F7" i="2"/>
  <c r="I7" i="2"/>
</calcChain>
</file>

<file path=xl/sharedStrings.xml><?xml version="1.0" encoding="utf-8"?>
<sst xmlns="http://schemas.openxmlformats.org/spreadsheetml/2006/main" count="153" uniqueCount="44">
  <si>
    <t>Customer Name</t>
  </si>
  <si>
    <t>Product Name</t>
  </si>
  <si>
    <t>Rate</t>
  </si>
  <si>
    <t>Quantity</t>
  </si>
  <si>
    <t>Amount</t>
  </si>
  <si>
    <t>GST</t>
  </si>
  <si>
    <t>Total</t>
  </si>
  <si>
    <t>B Grocer</t>
  </si>
  <si>
    <t>Protien Powder</t>
  </si>
  <si>
    <t>Easy Store</t>
  </si>
  <si>
    <t>Washing Powder</t>
  </si>
  <si>
    <t>Ultimate Store</t>
  </si>
  <si>
    <t>Chocolate</t>
  </si>
  <si>
    <t>Biscuits</t>
  </si>
  <si>
    <t>Pain Balm</t>
  </si>
  <si>
    <t>First Service Store</t>
  </si>
  <si>
    <t>Noodles</t>
  </si>
  <si>
    <t>Coffee</t>
  </si>
  <si>
    <t>ABC Super Store</t>
  </si>
  <si>
    <t>Honey</t>
  </si>
  <si>
    <t>Shampoo</t>
  </si>
  <si>
    <t>Sugar</t>
  </si>
  <si>
    <t>Cooking Oil</t>
  </si>
  <si>
    <t>Conditioner</t>
  </si>
  <si>
    <t>Room Freshner</t>
  </si>
  <si>
    <t>Hair Gel</t>
  </si>
  <si>
    <t xml:space="preserve">Namkeen </t>
  </si>
  <si>
    <t>Soap</t>
  </si>
  <si>
    <t>Haritesh Store</t>
  </si>
  <si>
    <t>Besan</t>
  </si>
  <si>
    <t>Fairness Cream</t>
  </si>
  <si>
    <t>Tooth Paste</t>
  </si>
  <si>
    <t>Hair Oil</t>
  </si>
  <si>
    <t>Lip Balm</t>
  </si>
  <si>
    <t>Salt</t>
  </si>
  <si>
    <t>Cold Cream</t>
  </si>
  <si>
    <t>Tooth Brush</t>
  </si>
  <si>
    <t>Candies</t>
  </si>
  <si>
    <t>Tea</t>
  </si>
  <si>
    <t>Search</t>
  </si>
  <si>
    <t>Helper</t>
  </si>
  <si>
    <t>S. No</t>
  </si>
  <si>
    <t>Dynamic Search Box using VLOOKUP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</si>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</sst>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1" fontId="1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10"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3399F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1076325</xdr:colOff>
          <xdr:row>2</xdr:row>
          <xdr:rowOff>133350</xdr:rowOff>
        </xdr:from>
        <xdr:to>
          <xdr:col>6</xdr:col>
          <xdr:colOff>76200</xdr:colOff>
          <xdr:row>3</xdr:row>
          <xdr:rowOff>47625</xdr:rowOff>
        </xdr:to>
        <xdr:sp macro="" textlink="">
          <xdr:nvSpPr>
            <xdr:cNvPr id="1026" name="TextBox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95250</xdr:colOff>
      <xdr:row>2</xdr:row>
      <xdr:rowOff>57150</xdr:rowOff>
    </xdr:from>
    <xdr:to>
      <xdr:col>6</xdr:col>
      <xdr:colOff>247650</xdr:colOff>
      <xdr:row>3</xdr:row>
      <xdr:rowOff>69850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2F7E241-4F95-78C7-E1A8-CCEDC9C3C944}"/>
            </a:ext>
          </a:extLst>
        </xdr:cNvPr>
        <xdr:cNvSpPr/>
      </xdr:nvSpPr>
      <xdr:spPr>
        <a:xfrm>
          <a:off x="1136650" y="425450"/>
          <a:ext cx="4972050" cy="381000"/>
        </a:xfrm>
        <a:prstGeom prst="roundRect">
          <a:avLst>
            <a:gd name="adj" fmla="val 50000"/>
          </a:avLst>
        </a:prstGeom>
        <a:noFill/>
        <a:ln>
          <a:solidFill>
            <a:schemeClr val="accent5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92075</xdr:colOff>
      <xdr:row>2</xdr:row>
      <xdr:rowOff>50799</xdr:rowOff>
    </xdr:from>
    <xdr:to>
      <xdr:col>2</xdr:col>
      <xdr:colOff>749302</xdr:colOff>
      <xdr:row>3</xdr:row>
      <xdr:rowOff>76199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94A3B928-3EFD-28EE-435B-0E0DB24CF8D8}"/>
            </a:ext>
          </a:extLst>
        </xdr:cNvPr>
        <xdr:cNvSpPr/>
      </xdr:nvSpPr>
      <xdr:spPr>
        <a:xfrm rot="16200000">
          <a:off x="1265239" y="287335"/>
          <a:ext cx="393700" cy="657227"/>
        </a:xfrm>
        <a:prstGeom prst="round2SameRect">
          <a:avLst>
            <a:gd name="adj1" fmla="val 50000"/>
            <a:gd name="adj2" fmla="val 0"/>
          </a:avLst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215900</xdr:colOff>
      <xdr:row>2</xdr:row>
      <xdr:rowOff>76200</xdr:rowOff>
    </xdr:from>
    <xdr:to>
      <xdr:col>2</xdr:col>
      <xdr:colOff>590550</xdr:colOff>
      <xdr:row>3</xdr:row>
      <xdr:rowOff>82550</xdr:rowOff>
    </xdr:to>
    <xdr:pic>
      <xdr:nvPicPr>
        <xdr:cNvPr id="6" name="Graphic 5" descr="Magnifying glass with solid fill">
          <a:extLst>
            <a:ext uri="{FF2B5EF4-FFF2-40B4-BE49-F238E27FC236}">
              <a16:creationId xmlns:a16="http://schemas.microsoft.com/office/drawing/2014/main" id="{79D1212E-1FA7-05CA-3DB9-0CF528D31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257300" y="444500"/>
          <a:ext cx="374650" cy="374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DataTable" displayName="DataTable" ref="A2:H69" totalsRowShown="0" headerRowDxfId="8" dataDxfId="7">
  <tableColumns count="8">
    <tableColumn id="1" name="Helper">
      <calculatedColumnFormula>B3&amp;COUNTIF($B$3:B3,B3)</calculatedColumnFormula>
    </tableColumn>
    <tableColumn id="2" name="Customer Name" dataDxfId="6"/>
    <tableColumn id="3" name="Product Name" dataDxfId="5"/>
    <tableColumn id="4" name="Rate" dataDxfId="4"/>
    <tableColumn id="5" name="Quantity" dataDxfId="3"/>
    <tableColumn id="6" name="Amount" dataDxfId="2"/>
    <tableColumn id="7" name="GST" dataDxfId="1"/>
    <tableColumn id="8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W199"/>
  <sheetViews>
    <sheetView showGridLines="0" workbookViewId="0">
      <selection activeCell="A8" sqref="A8"/>
    </sheetView>
  </sheetViews>
  <sheetFormatPr defaultRowHeight="14.25"/>
  <cols>
    <col min="2" max="2" width="6.125" style="6" bestFit="1" customWidth="1"/>
    <col min="3" max="4" width="22.875" customWidth="1"/>
    <col min="6" max="6" width="14.625" customWidth="1"/>
    <col min="7" max="9" width="11" customWidth="1"/>
  </cols>
  <sheetData>
    <row r="1" spans="1:23" ht="18">
      <c r="A1" s="10">
        <f>COUNTIF(DataTable[Customer Name],SearchBox!G3)</f>
        <v>17</v>
      </c>
      <c r="B1" s="12" t="s">
        <v>42</v>
      </c>
      <c r="C1" s="13"/>
      <c r="D1" s="13"/>
      <c r="E1" s="13"/>
      <c r="F1" s="13"/>
      <c r="G1" s="13"/>
      <c r="H1" s="13"/>
      <c r="I1" s="13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3" spans="1:23" ht="29.1" customHeight="1">
      <c r="C3" s="9" t="s">
        <v>39</v>
      </c>
      <c r="D3" s="11" t="s">
        <v>43</v>
      </c>
      <c r="E3" s="11"/>
      <c r="F3" s="11"/>
      <c r="G3" s="5" t="str">
        <f>VLOOKUP("*"&amp;D3&amp;"*",DataTable[],2,0)</f>
        <v>B Grocer</v>
      </c>
    </row>
    <row r="5" spans="1:23" ht="15.75">
      <c r="B5" s="8" t="s">
        <v>41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</row>
    <row r="6" spans="1:23">
      <c r="B6" s="6" t="str">
        <f>IF($D$3="","",IF($A$1&gt;=ROW()-ROW($B$5),ROW()-ROW($B$5),""))</f>
        <v/>
      </c>
      <c r="C6" s="4" t="str">
        <f>IF($D$3="","",IFERROR(VLOOKUP($G$3&amp;$B6,DataTable[],COLUMNS($B$4:C4),0),""))</f>
        <v/>
      </c>
      <c r="D6" s="4" t="str">
        <f>IF($D$3="","",IFERROR(VLOOKUP($G$3&amp;$B6,DataTable[],COLUMNS($B$4:D4),0),""))</f>
        <v/>
      </c>
      <c r="E6" s="4" t="str">
        <f>IF($D$3="","",IFERROR(VLOOKUP($G$3&amp;$B6,DataTable[],COLUMNS($B$4:E4),0),""))</f>
        <v/>
      </c>
      <c r="F6" s="4" t="str">
        <f>IF($D$3="","",IFERROR(VLOOKUP($G$3&amp;$B6,DataTable[],COLUMNS($B$4:F4),0),""))</f>
        <v/>
      </c>
      <c r="G6" s="4" t="str">
        <f>IF($D$3="","",IFERROR(VLOOKUP($G$3&amp;$B6,DataTable[],COLUMNS($B$4:G4),0),""))</f>
        <v/>
      </c>
      <c r="H6" s="7" t="str">
        <f>IF($D$3="","",IFERROR(VLOOKUP($G$3&amp;$B6,DataTable[],COLUMNS($B$4:H4),0),""))</f>
        <v/>
      </c>
      <c r="I6" s="7" t="str">
        <f>IF($D$3="","",IFERROR(VLOOKUP($G$3&amp;$B6,DataTable[],COLUMNS($B$4:I4),0),""))</f>
        <v/>
      </c>
    </row>
    <row r="7" spans="1:23">
      <c r="B7" s="6" t="str">
        <f t="shared" ref="B7:B70" si="0">IF($D$3="","",IF($A$1&gt;=ROW()-ROW($B$5),ROW()-ROW($B$5),""))</f>
        <v/>
      </c>
      <c r="C7" s="4" t="str">
        <f>IF($D$3="","",IFERROR(VLOOKUP($G$3&amp;$B7,DataTable[],COLUMNS($B$4:C5),0),""))</f>
        <v/>
      </c>
      <c r="D7" s="4" t="str">
        <f>IF($D$3="","",IFERROR(VLOOKUP($G$3&amp;$B7,DataTable[],COLUMNS($B$4:D5),0),""))</f>
        <v/>
      </c>
      <c r="E7" s="4" t="str">
        <f>IF($D$3="","",IFERROR(VLOOKUP($G$3&amp;$B7,DataTable[],COLUMNS($B$4:E5),0),""))</f>
        <v/>
      </c>
      <c r="F7" s="4" t="str">
        <f>IF($D$3="","",IFERROR(VLOOKUP($G$3&amp;$B7,DataTable[],COLUMNS($B$4:F5),0),""))</f>
        <v/>
      </c>
      <c r="G7" s="4" t="str">
        <f>IF($D$3="","",IFERROR(VLOOKUP($G$3&amp;$B7,DataTable[],COLUMNS($B$4:G5),0),""))</f>
        <v/>
      </c>
      <c r="H7" s="7" t="str">
        <f>IF($D$3="","",IFERROR(VLOOKUP($G$3&amp;$B7,DataTable[],COLUMNS($B$4:H5),0),""))</f>
        <v/>
      </c>
      <c r="I7" s="7" t="str">
        <f>IF($D$3="","",IFERROR(VLOOKUP($G$3&amp;$B7,DataTable[],COLUMNS($B$4:I5),0),""))</f>
        <v/>
      </c>
    </row>
    <row r="8" spans="1:23">
      <c r="B8" s="6" t="str">
        <f t="shared" si="0"/>
        <v/>
      </c>
      <c r="C8" s="4" t="str">
        <f>IF($D$3="","",IFERROR(VLOOKUP($G$3&amp;$B8,DataTable[],COLUMNS($B$4:C6),0),""))</f>
        <v/>
      </c>
      <c r="D8" s="4" t="str">
        <f>IF($D$3="","",IFERROR(VLOOKUP($G$3&amp;$B8,DataTable[],COLUMNS($B$4:D6),0),""))</f>
        <v/>
      </c>
      <c r="E8" s="4" t="str">
        <f>IF($D$3="","",IFERROR(VLOOKUP($G$3&amp;$B8,DataTable[],COLUMNS($B$4:E6),0),""))</f>
        <v/>
      </c>
      <c r="F8" s="4" t="str">
        <f>IF($D$3="","",IFERROR(VLOOKUP($G$3&amp;$B8,DataTable[],COLUMNS($B$4:F6),0),""))</f>
        <v/>
      </c>
      <c r="G8" s="4" t="str">
        <f>IF($D$3="","",IFERROR(VLOOKUP($G$3&amp;$B8,DataTable[],COLUMNS($B$4:G6),0),""))</f>
        <v/>
      </c>
      <c r="H8" s="7" t="str">
        <f>IF($D$3="","",IFERROR(VLOOKUP($G$3&amp;$B8,DataTable[],COLUMNS($B$4:H6),0),""))</f>
        <v/>
      </c>
      <c r="I8" s="7" t="str">
        <f>IF($D$3="","",IFERROR(VLOOKUP($G$3&amp;$B8,DataTable[],COLUMNS($B$4:I6),0),""))</f>
        <v/>
      </c>
    </row>
    <row r="9" spans="1:23">
      <c r="B9" s="6" t="str">
        <f t="shared" si="0"/>
        <v/>
      </c>
      <c r="C9" s="4" t="str">
        <f>IF($D$3="","",IFERROR(VLOOKUP($G$3&amp;$B9,DataTable[],COLUMNS($B$4:C7),0),""))</f>
        <v/>
      </c>
      <c r="D9" s="4" t="str">
        <f>IF($D$3="","",IFERROR(VLOOKUP($G$3&amp;$B9,DataTable[],COLUMNS($B$4:D7),0),""))</f>
        <v/>
      </c>
      <c r="E9" s="4" t="str">
        <f>IF($D$3="","",IFERROR(VLOOKUP($G$3&amp;$B9,DataTable[],COLUMNS($B$4:E7),0),""))</f>
        <v/>
      </c>
      <c r="F9" s="4" t="str">
        <f>IF($D$3="","",IFERROR(VLOOKUP($G$3&amp;$B9,DataTable[],COLUMNS($B$4:F7),0),""))</f>
        <v/>
      </c>
      <c r="G9" s="4" t="str">
        <f>IF($D$3="","",IFERROR(VLOOKUP($G$3&amp;$B9,DataTable[],COLUMNS($B$4:G7),0),""))</f>
        <v/>
      </c>
      <c r="H9" s="7" t="str">
        <f>IF($D$3="","",IFERROR(VLOOKUP($G$3&amp;$B9,DataTable[],COLUMNS($B$4:H7),0),""))</f>
        <v/>
      </c>
      <c r="I9" s="7" t="str">
        <f>IF($D$3="","",IFERROR(VLOOKUP($G$3&amp;$B9,DataTable[],COLUMNS($B$4:I7),0),""))</f>
        <v/>
      </c>
    </row>
    <row r="10" spans="1:23">
      <c r="B10" s="6" t="str">
        <f t="shared" si="0"/>
        <v/>
      </c>
      <c r="C10" s="4" t="str">
        <f>IF($D$3="","",IFERROR(VLOOKUP($G$3&amp;$B10,DataTable[],COLUMNS($B$4:C8),0),""))</f>
        <v/>
      </c>
      <c r="D10" s="4" t="str">
        <f>IF($D$3="","",IFERROR(VLOOKUP($G$3&amp;$B10,DataTable[],COLUMNS($B$4:D8),0),""))</f>
        <v/>
      </c>
      <c r="E10" s="4" t="str">
        <f>IF($D$3="","",IFERROR(VLOOKUP($G$3&amp;$B10,DataTable[],COLUMNS($B$4:E8),0),""))</f>
        <v/>
      </c>
      <c r="F10" s="4" t="str">
        <f>IF($D$3="","",IFERROR(VLOOKUP($G$3&amp;$B10,DataTable[],COLUMNS($B$4:F8),0),""))</f>
        <v/>
      </c>
      <c r="G10" s="4" t="str">
        <f>IF($D$3="","",IFERROR(VLOOKUP($G$3&amp;$B10,DataTable[],COLUMNS($B$4:G8),0),""))</f>
        <v/>
      </c>
      <c r="H10" s="7" t="str">
        <f>IF($D$3="","",IFERROR(VLOOKUP($G$3&amp;$B10,DataTable[],COLUMNS($B$4:H8),0),""))</f>
        <v/>
      </c>
      <c r="I10" s="7" t="str">
        <f>IF($D$3="","",IFERROR(VLOOKUP($G$3&amp;$B10,DataTable[],COLUMNS($B$4:I8),0),""))</f>
        <v/>
      </c>
    </row>
    <row r="11" spans="1:23">
      <c r="B11" s="6" t="str">
        <f t="shared" si="0"/>
        <v/>
      </c>
      <c r="C11" s="4" t="str">
        <f>IF($D$3="","",IFERROR(VLOOKUP($G$3&amp;$B11,DataTable[],COLUMNS($B$4:C9),0),""))</f>
        <v/>
      </c>
      <c r="D11" s="4" t="str">
        <f>IF($D$3="","",IFERROR(VLOOKUP($G$3&amp;$B11,DataTable[],COLUMNS($B$4:D9),0),""))</f>
        <v/>
      </c>
      <c r="E11" s="4" t="str">
        <f>IF($D$3="","",IFERROR(VLOOKUP($G$3&amp;$B11,DataTable[],COLUMNS($B$4:E9),0),""))</f>
        <v/>
      </c>
      <c r="F11" s="4" t="str">
        <f>IF($D$3="","",IFERROR(VLOOKUP($G$3&amp;$B11,DataTable[],COLUMNS($B$4:F9),0),""))</f>
        <v/>
      </c>
      <c r="G11" s="4" t="str">
        <f>IF($D$3="","",IFERROR(VLOOKUP($G$3&amp;$B11,DataTable[],COLUMNS($B$4:G9),0),""))</f>
        <v/>
      </c>
      <c r="H11" s="7" t="str">
        <f>IF($D$3="","",IFERROR(VLOOKUP($G$3&amp;$B11,DataTable[],COLUMNS($B$4:H9),0),""))</f>
        <v/>
      </c>
      <c r="I11" s="7" t="str">
        <f>IF($D$3="","",IFERROR(VLOOKUP($G$3&amp;$B11,DataTable[],COLUMNS($B$4:I9),0),""))</f>
        <v/>
      </c>
    </row>
    <row r="12" spans="1:23">
      <c r="B12" s="6" t="str">
        <f t="shared" si="0"/>
        <v/>
      </c>
      <c r="C12" s="4" t="str">
        <f>IF($D$3="","",IFERROR(VLOOKUP($G$3&amp;$B12,DataTable[],COLUMNS($B$4:C10),0),""))</f>
        <v/>
      </c>
      <c r="D12" s="4" t="str">
        <f>IF($D$3="","",IFERROR(VLOOKUP($G$3&amp;$B12,DataTable[],COLUMNS($B$4:D10),0),""))</f>
        <v/>
      </c>
      <c r="E12" s="4" t="str">
        <f>IF($D$3="","",IFERROR(VLOOKUP($G$3&amp;$B12,DataTable[],COLUMNS($B$4:E10),0),""))</f>
        <v/>
      </c>
      <c r="F12" s="4" t="str">
        <f>IF($D$3="","",IFERROR(VLOOKUP($G$3&amp;$B12,DataTable[],COLUMNS($B$4:F10),0),""))</f>
        <v/>
      </c>
      <c r="G12" s="4" t="str">
        <f>IF($D$3="","",IFERROR(VLOOKUP($G$3&amp;$B12,DataTable[],COLUMNS($B$4:G10),0),""))</f>
        <v/>
      </c>
      <c r="H12" s="7" t="str">
        <f>IF($D$3="","",IFERROR(VLOOKUP($G$3&amp;$B12,DataTable[],COLUMNS($B$4:H10),0),""))</f>
        <v/>
      </c>
      <c r="I12" s="7" t="str">
        <f>IF($D$3="","",IFERROR(VLOOKUP($G$3&amp;$B12,DataTable[],COLUMNS($B$4:I10),0),""))</f>
        <v/>
      </c>
    </row>
    <row r="13" spans="1:23">
      <c r="B13" s="6" t="str">
        <f t="shared" si="0"/>
        <v/>
      </c>
      <c r="C13" s="4" t="str">
        <f>IF($D$3="","",IFERROR(VLOOKUP($G$3&amp;$B13,DataTable[],COLUMNS($B$4:C11),0),""))</f>
        <v/>
      </c>
      <c r="D13" s="4" t="str">
        <f>IF($D$3="","",IFERROR(VLOOKUP($G$3&amp;$B13,DataTable[],COLUMNS($B$4:D11),0),""))</f>
        <v/>
      </c>
      <c r="E13" s="4" t="str">
        <f>IF($D$3="","",IFERROR(VLOOKUP($G$3&amp;$B13,DataTable[],COLUMNS($B$4:E11),0),""))</f>
        <v/>
      </c>
      <c r="F13" s="4" t="str">
        <f>IF($D$3="","",IFERROR(VLOOKUP($G$3&amp;$B13,DataTable[],COLUMNS($B$4:F11),0),""))</f>
        <v/>
      </c>
      <c r="G13" s="4" t="str">
        <f>IF($D$3="","",IFERROR(VLOOKUP($G$3&amp;$B13,DataTable[],COLUMNS($B$4:G11),0),""))</f>
        <v/>
      </c>
      <c r="H13" s="7" t="str">
        <f>IF($D$3="","",IFERROR(VLOOKUP($G$3&amp;$B13,DataTable[],COLUMNS($B$4:H11),0),""))</f>
        <v/>
      </c>
      <c r="I13" s="7" t="str">
        <f>IF($D$3="","",IFERROR(VLOOKUP($G$3&amp;$B13,DataTable[],COLUMNS($B$4:I11),0),""))</f>
        <v/>
      </c>
    </row>
    <row r="14" spans="1:23">
      <c r="B14" s="6" t="str">
        <f t="shared" si="0"/>
        <v/>
      </c>
      <c r="C14" s="4" t="str">
        <f>IF($D$3="","",IFERROR(VLOOKUP($G$3&amp;$B14,DataTable[],COLUMNS($B$4:C12),0),""))</f>
        <v/>
      </c>
      <c r="D14" s="4" t="str">
        <f>IF($D$3="","",IFERROR(VLOOKUP($G$3&amp;$B14,DataTable[],COLUMNS($B$4:D12),0),""))</f>
        <v/>
      </c>
      <c r="E14" s="4" t="str">
        <f>IF($D$3="","",IFERROR(VLOOKUP($G$3&amp;$B14,DataTable[],COLUMNS($B$4:E12),0),""))</f>
        <v/>
      </c>
      <c r="F14" s="4" t="str">
        <f>IF($D$3="","",IFERROR(VLOOKUP($G$3&amp;$B14,DataTable[],COLUMNS($B$4:F12),0),""))</f>
        <v/>
      </c>
      <c r="G14" s="4" t="str">
        <f>IF($D$3="","",IFERROR(VLOOKUP($G$3&amp;$B14,DataTable[],COLUMNS($B$4:G12),0),""))</f>
        <v/>
      </c>
      <c r="H14" s="7" t="str">
        <f>IF($D$3="","",IFERROR(VLOOKUP($G$3&amp;$B14,DataTable[],COLUMNS($B$4:H12),0),""))</f>
        <v/>
      </c>
      <c r="I14" s="7" t="str">
        <f>IF($D$3="","",IFERROR(VLOOKUP($G$3&amp;$B14,DataTable[],COLUMNS($B$4:I12),0),""))</f>
        <v/>
      </c>
    </row>
    <row r="15" spans="1:23">
      <c r="B15" s="6" t="str">
        <f t="shared" si="0"/>
        <v/>
      </c>
      <c r="C15" s="4" t="str">
        <f>IF($D$3="","",IFERROR(VLOOKUP($G$3&amp;$B15,DataTable[],COLUMNS($B$4:C13),0),""))</f>
        <v/>
      </c>
      <c r="D15" s="4" t="str">
        <f>IF($D$3="","",IFERROR(VLOOKUP($G$3&amp;$B15,DataTable[],COLUMNS($B$4:D13),0),""))</f>
        <v/>
      </c>
      <c r="E15" s="4" t="str">
        <f>IF($D$3="","",IFERROR(VLOOKUP($G$3&amp;$B15,DataTable[],COLUMNS($B$4:E13),0),""))</f>
        <v/>
      </c>
      <c r="F15" s="4" t="str">
        <f>IF($D$3="","",IFERROR(VLOOKUP($G$3&amp;$B15,DataTable[],COLUMNS($B$4:F13),0),""))</f>
        <v/>
      </c>
      <c r="G15" s="4" t="str">
        <f>IF($D$3="","",IFERROR(VLOOKUP($G$3&amp;$B15,DataTable[],COLUMNS($B$4:G13),0),""))</f>
        <v/>
      </c>
      <c r="H15" s="7" t="str">
        <f>IF($D$3="","",IFERROR(VLOOKUP($G$3&amp;$B15,DataTable[],COLUMNS($B$4:H13),0),""))</f>
        <v/>
      </c>
      <c r="I15" s="7" t="str">
        <f>IF($D$3="","",IFERROR(VLOOKUP($G$3&amp;$B15,DataTable[],COLUMNS($B$4:I13),0),""))</f>
        <v/>
      </c>
    </row>
    <row r="16" spans="1:23">
      <c r="B16" s="6" t="str">
        <f t="shared" si="0"/>
        <v/>
      </c>
      <c r="C16" s="4" t="str">
        <f>IF($D$3="","",IFERROR(VLOOKUP($G$3&amp;$B16,DataTable[],COLUMNS($B$4:C14),0),""))</f>
        <v/>
      </c>
      <c r="D16" s="4" t="str">
        <f>IF($D$3="","",IFERROR(VLOOKUP($G$3&amp;$B16,DataTable[],COLUMNS($B$4:D14),0),""))</f>
        <v/>
      </c>
      <c r="E16" s="4" t="str">
        <f>IF($D$3="","",IFERROR(VLOOKUP($G$3&amp;$B16,DataTable[],COLUMNS($B$4:E14),0),""))</f>
        <v/>
      </c>
      <c r="F16" s="4" t="str">
        <f>IF($D$3="","",IFERROR(VLOOKUP($G$3&amp;$B16,DataTable[],COLUMNS($B$4:F14),0),""))</f>
        <v/>
      </c>
      <c r="G16" s="4" t="str">
        <f>IF($D$3="","",IFERROR(VLOOKUP($G$3&amp;$B16,DataTable[],COLUMNS($B$4:G14),0),""))</f>
        <v/>
      </c>
      <c r="H16" s="7" t="str">
        <f>IF($D$3="","",IFERROR(VLOOKUP($G$3&amp;$B16,DataTable[],COLUMNS($B$4:H14),0),""))</f>
        <v/>
      </c>
      <c r="I16" s="7" t="str">
        <f>IF($D$3="","",IFERROR(VLOOKUP($G$3&amp;$B16,DataTable[],COLUMNS($B$4:I14),0),""))</f>
        <v/>
      </c>
    </row>
    <row r="17" spans="2:9">
      <c r="B17" s="6" t="str">
        <f t="shared" si="0"/>
        <v/>
      </c>
      <c r="C17" s="4" t="str">
        <f>IF($D$3="","",IFERROR(VLOOKUP($G$3&amp;$B17,DataTable[],COLUMNS($B$4:C15),0),""))</f>
        <v/>
      </c>
      <c r="D17" s="4" t="str">
        <f>IF($D$3="","",IFERROR(VLOOKUP($G$3&amp;$B17,DataTable[],COLUMNS($B$4:D15),0),""))</f>
        <v/>
      </c>
      <c r="E17" s="4" t="str">
        <f>IF($D$3="","",IFERROR(VLOOKUP($G$3&amp;$B17,DataTable[],COLUMNS($B$4:E15),0),""))</f>
        <v/>
      </c>
      <c r="F17" s="4" t="str">
        <f>IF($D$3="","",IFERROR(VLOOKUP($G$3&amp;$B17,DataTable[],COLUMNS($B$4:F15),0),""))</f>
        <v/>
      </c>
      <c r="G17" s="4" t="str">
        <f>IF($D$3="","",IFERROR(VLOOKUP($G$3&amp;$B17,DataTable[],COLUMNS($B$4:G15),0),""))</f>
        <v/>
      </c>
      <c r="H17" s="7" t="str">
        <f>IF($D$3="","",IFERROR(VLOOKUP($G$3&amp;$B17,DataTable[],COLUMNS($B$4:H15),0),""))</f>
        <v/>
      </c>
      <c r="I17" s="7" t="str">
        <f>IF($D$3="","",IFERROR(VLOOKUP($G$3&amp;$B17,DataTable[],COLUMNS($B$4:I15),0),""))</f>
        <v/>
      </c>
    </row>
    <row r="18" spans="2:9">
      <c r="B18" s="6" t="str">
        <f t="shared" si="0"/>
        <v/>
      </c>
      <c r="C18" s="4" t="str">
        <f>IF($D$3="","",IFERROR(VLOOKUP($G$3&amp;$B18,DataTable[],COLUMNS($B$4:C16),0),""))</f>
        <v/>
      </c>
      <c r="D18" s="4" t="str">
        <f>IF($D$3="","",IFERROR(VLOOKUP($G$3&amp;$B18,DataTable[],COLUMNS($B$4:D16),0),""))</f>
        <v/>
      </c>
      <c r="E18" s="4" t="str">
        <f>IF($D$3="","",IFERROR(VLOOKUP($G$3&amp;$B18,DataTable[],COLUMNS($B$4:E16),0),""))</f>
        <v/>
      </c>
      <c r="F18" s="4" t="str">
        <f>IF($D$3="","",IFERROR(VLOOKUP($G$3&amp;$B18,DataTable[],COLUMNS($B$4:F16),0),""))</f>
        <v/>
      </c>
      <c r="G18" s="4" t="str">
        <f>IF($D$3="","",IFERROR(VLOOKUP($G$3&amp;$B18,DataTable[],COLUMNS($B$4:G16),0),""))</f>
        <v/>
      </c>
      <c r="H18" s="7" t="str">
        <f>IF($D$3="","",IFERROR(VLOOKUP($G$3&amp;$B18,DataTable[],COLUMNS($B$4:H16),0),""))</f>
        <v/>
      </c>
      <c r="I18" s="7" t="str">
        <f>IF($D$3="","",IFERROR(VLOOKUP($G$3&amp;$B18,DataTable[],COLUMNS($B$4:I16),0),""))</f>
        <v/>
      </c>
    </row>
    <row r="19" spans="2:9">
      <c r="B19" s="6" t="str">
        <f t="shared" si="0"/>
        <v/>
      </c>
      <c r="C19" s="4" t="str">
        <f>IF($D$3="","",IFERROR(VLOOKUP($G$3&amp;$B19,DataTable[],COLUMNS($B$4:C17),0),""))</f>
        <v/>
      </c>
      <c r="D19" s="4" t="str">
        <f>IF($D$3="","",IFERROR(VLOOKUP($G$3&amp;$B19,DataTable[],COLUMNS($B$4:D17),0),""))</f>
        <v/>
      </c>
      <c r="E19" s="4" t="str">
        <f>IF($D$3="","",IFERROR(VLOOKUP($G$3&amp;$B19,DataTable[],COLUMNS($B$4:E17),0),""))</f>
        <v/>
      </c>
      <c r="F19" s="4" t="str">
        <f>IF($D$3="","",IFERROR(VLOOKUP($G$3&amp;$B19,DataTable[],COLUMNS($B$4:F17),0),""))</f>
        <v/>
      </c>
      <c r="G19" s="4" t="str">
        <f>IF($D$3="","",IFERROR(VLOOKUP($G$3&amp;$B19,DataTable[],COLUMNS($B$4:G17),0),""))</f>
        <v/>
      </c>
      <c r="H19" s="7" t="str">
        <f>IF($D$3="","",IFERROR(VLOOKUP($G$3&amp;$B19,DataTable[],COLUMNS($B$4:H17),0),""))</f>
        <v/>
      </c>
      <c r="I19" s="7" t="str">
        <f>IF($D$3="","",IFERROR(VLOOKUP($G$3&amp;$B19,DataTable[],COLUMNS($B$4:I17),0),""))</f>
        <v/>
      </c>
    </row>
    <row r="20" spans="2:9">
      <c r="B20" s="6" t="str">
        <f t="shared" si="0"/>
        <v/>
      </c>
      <c r="C20" s="4" t="str">
        <f>IF($D$3="","",IFERROR(VLOOKUP($G$3&amp;$B20,DataTable[],COLUMNS($B$4:C18),0),""))</f>
        <v/>
      </c>
      <c r="D20" s="4" t="str">
        <f>IF($D$3="","",IFERROR(VLOOKUP($G$3&amp;$B20,DataTable[],COLUMNS($B$4:D18),0),""))</f>
        <v/>
      </c>
      <c r="E20" s="4" t="str">
        <f>IF($D$3="","",IFERROR(VLOOKUP($G$3&amp;$B20,DataTable[],COLUMNS($B$4:E18),0),""))</f>
        <v/>
      </c>
      <c r="F20" s="4" t="str">
        <f>IF($D$3="","",IFERROR(VLOOKUP($G$3&amp;$B20,DataTable[],COLUMNS($B$4:F18),0),""))</f>
        <v/>
      </c>
      <c r="G20" s="4" t="str">
        <f>IF($D$3="","",IFERROR(VLOOKUP($G$3&amp;$B20,DataTable[],COLUMNS($B$4:G18),0),""))</f>
        <v/>
      </c>
      <c r="H20" s="7" t="str">
        <f>IF($D$3="","",IFERROR(VLOOKUP($G$3&amp;$B20,DataTable[],COLUMNS($B$4:H18),0),""))</f>
        <v/>
      </c>
      <c r="I20" s="7" t="str">
        <f>IF($D$3="","",IFERROR(VLOOKUP($G$3&amp;$B20,DataTable[],COLUMNS($B$4:I18),0),""))</f>
        <v/>
      </c>
    </row>
    <row r="21" spans="2:9">
      <c r="B21" s="6" t="str">
        <f t="shared" si="0"/>
        <v/>
      </c>
      <c r="C21" s="4" t="str">
        <f>IF($D$3="","",IFERROR(VLOOKUP($G$3&amp;$B21,DataTable[],COLUMNS($B$4:C19),0),""))</f>
        <v/>
      </c>
      <c r="D21" s="4" t="str">
        <f>IF($D$3="","",IFERROR(VLOOKUP($G$3&amp;$B21,DataTable[],COLUMNS($B$4:D19),0),""))</f>
        <v/>
      </c>
      <c r="E21" s="4" t="str">
        <f>IF($D$3="","",IFERROR(VLOOKUP($G$3&amp;$B21,DataTable[],COLUMNS($B$4:E19),0),""))</f>
        <v/>
      </c>
      <c r="F21" s="4" t="str">
        <f>IF($D$3="","",IFERROR(VLOOKUP($G$3&amp;$B21,DataTable[],COLUMNS($B$4:F19),0),""))</f>
        <v/>
      </c>
      <c r="G21" s="4" t="str">
        <f>IF($D$3="","",IFERROR(VLOOKUP($G$3&amp;$B21,DataTable[],COLUMNS($B$4:G19),0),""))</f>
        <v/>
      </c>
      <c r="H21" s="7" t="str">
        <f>IF($D$3="","",IFERROR(VLOOKUP($G$3&amp;$B21,DataTable[],COLUMNS($B$4:H19),0),""))</f>
        <v/>
      </c>
      <c r="I21" s="7" t="str">
        <f>IF($D$3="","",IFERROR(VLOOKUP($G$3&amp;$B21,DataTable[],COLUMNS($B$4:I19),0),""))</f>
        <v/>
      </c>
    </row>
    <row r="22" spans="2:9">
      <c r="B22" s="6" t="str">
        <f t="shared" si="0"/>
        <v/>
      </c>
      <c r="C22" s="4" t="str">
        <f>IF($D$3="","",IFERROR(VLOOKUP($G$3&amp;$B22,DataTable[],COLUMNS($B$4:C20),0),""))</f>
        <v/>
      </c>
      <c r="D22" s="4" t="str">
        <f>IF($D$3="","",IFERROR(VLOOKUP($G$3&amp;$B22,DataTable[],COLUMNS($B$4:D20),0),""))</f>
        <v/>
      </c>
      <c r="E22" s="4" t="str">
        <f>IF($D$3="","",IFERROR(VLOOKUP($G$3&amp;$B22,DataTable[],COLUMNS($B$4:E20),0),""))</f>
        <v/>
      </c>
      <c r="F22" s="4" t="str">
        <f>IF($D$3="","",IFERROR(VLOOKUP($G$3&amp;$B22,DataTable[],COLUMNS($B$4:F20),0),""))</f>
        <v/>
      </c>
      <c r="G22" s="4" t="str">
        <f>IF($D$3="","",IFERROR(VLOOKUP($G$3&amp;$B22,DataTable[],COLUMNS($B$4:G20),0),""))</f>
        <v/>
      </c>
      <c r="H22" s="7" t="str">
        <f>IF($D$3="","",IFERROR(VLOOKUP($G$3&amp;$B22,DataTable[],COLUMNS($B$4:H20),0),""))</f>
        <v/>
      </c>
      <c r="I22" s="7" t="str">
        <f>IF($D$3="","",IFERROR(VLOOKUP($G$3&amp;$B22,DataTable[],COLUMNS($B$4:I20),0),""))</f>
        <v/>
      </c>
    </row>
    <row r="23" spans="2:9">
      <c r="B23" s="6" t="str">
        <f t="shared" si="0"/>
        <v/>
      </c>
      <c r="C23" s="4" t="str">
        <f>IF($D$3="","",IFERROR(VLOOKUP($G$3&amp;$B23,DataTable[],COLUMNS($B$4:C21),0),""))</f>
        <v/>
      </c>
      <c r="D23" s="4" t="str">
        <f>IF($D$3="","",IFERROR(VLOOKUP($G$3&amp;$B23,DataTable[],COLUMNS($B$4:D21),0),""))</f>
        <v/>
      </c>
      <c r="E23" s="4" t="str">
        <f>IF($D$3="","",IFERROR(VLOOKUP($G$3&amp;$B23,DataTable[],COLUMNS($B$4:E21),0),""))</f>
        <v/>
      </c>
      <c r="F23" s="4" t="str">
        <f>IF($D$3="","",IFERROR(VLOOKUP($G$3&amp;$B23,DataTable[],COLUMNS($B$4:F21),0),""))</f>
        <v/>
      </c>
      <c r="G23" s="4" t="str">
        <f>IF($D$3="","",IFERROR(VLOOKUP($G$3&amp;$B23,DataTable[],COLUMNS($B$4:G21),0),""))</f>
        <v/>
      </c>
      <c r="H23" s="7" t="str">
        <f>IF($D$3="","",IFERROR(VLOOKUP($G$3&amp;$B23,DataTable[],COLUMNS($B$4:H21),0),""))</f>
        <v/>
      </c>
      <c r="I23" s="7" t="str">
        <f>IF($D$3="","",IFERROR(VLOOKUP($G$3&amp;$B23,DataTable[],COLUMNS($B$4:I21),0),""))</f>
        <v/>
      </c>
    </row>
    <row r="24" spans="2:9">
      <c r="B24" s="6" t="str">
        <f t="shared" si="0"/>
        <v/>
      </c>
      <c r="C24" s="4" t="str">
        <f>IF($D$3="","",IFERROR(VLOOKUP($G$3&amp;$B24,DataTable[],COLUMNS($B$4:C22),0),""))</f>
        <v/>
      </c>
      <c r="D24" s="4" t="str">
        <f>IF($D$3="","",IFERROR(VLOOKUP($G$3&amp;$B24,DataTable[],COLUMNS($B$4:D22),0),""))</f>
        <v/>
      </c>
      <c r="E24" s="4" t="str">
        <f>IF($D$3="","",IFERROR(VLOOKUP($G$3&amp;$B24,DataTable[],COLUMNS($B$4:E22),0),""))</f>
        <v/>
      </c>
      <c r="F24" s="4" t="str">
        <f>IF($D$3="","",IFERROR(VLOOKUP($G$3&amp;$B24,DataTable[],COLUMNS($B$4:F22),0),""))</f>
        <v/>
      </c>
      <c r="G24" s="4" t="str">
        <f>IF($D$3="","",IFERROR(VLOOKUP($G$3&amp;$B24,DataTable[],COLUMNS($B$4:G22),0),""))</f>
        <v/>
      </c>
      <c r="H24" s="7" t="str">
        <f>IF($D$3="","",IFERROR(VLOOKUP($G$3&amp;$B24,DataTable[],COLUMNS($B$4:H22),0),""))</f>
        <v/>
      </c>
      <c r="I24" s="7" t="str">
        <f>IF($D$3="","",IFERROR(VLOOKUP($G$3&amp;$B24,DataTable[],COLUMNS($B$4:I22),0),""))</f>
        <v/>
      </c>
    </row>
    <row r="25" spans="2:9">
      <c r="B25" s="6" t="str">
        <f t="shared" si="0"/>
        <v/>
      </c>
      <c r="C25" s="4" t="str">
        <f>IF($D$3="","",IFERROR(VLOOKUP($G$3&amp;$B25,DataTable[],COLUMNS($B$4:C23),0),""))</f>
        <v/>
      </c>
      <c r="D25" s="4" t="str">
        <f>IF($D$3="","",IFERROR(VLOOKUP($G$3&amp;$B25,DataTable[],COLUMNS($B$4:D23),0),""))</f>
        <v/>
      </c>
      <c r="E25" s="4" t="str">
        <f>IF($D$3="","",IFERROR(VLOOKUP($G$3&amp;$B25,DataTable[],COLUMNS($B$4:E23),0),""))</f>
        <v/>
      </c>
      <c r="F25" s="4" t="str">
        <f>IF($D$3="","",IFERROR(VLOOKUP($G$3&amp;$B25,DataTable[],COLUMNS($B$4:F23),0),""))</f>
        <v/>
      </c>
      <c r="G25" s="4" t="str">
        <f>IF($D$3="","",IFERROR(VLOOKUP($G$3&amp;$B25,DataTable[],COLUMNS($B$4:G23),0),""))</f>
        <v/>
      </c>
      <c r="H25" s="7" t="str">
        <f>IF($D$3="","",IFERROR(VLOOKUP($G$3&amp;$B25,DataTable[],COLUMNS($B$4:H23),0),""))</f>
        <v/>
      </c>
      <c r="I25" s="7" t="str">
        <f>IF($D$3="","",IFERROR(VLOOKUP($G$3&amp;$B25,DataTable[],COLUMNS($B$4:I23),0),""))</f>
        <v/>
      </c>
    </row>
    <row r="26" spans="2:9">
      <c r="B26" s="6" t="str">
        <f t="shared" si="0"/>
        <v/>
      </c>
      <c r="C26" s="4" t="str">
        <f>IF($D$3="","",IFERROR(VLOOKUP($G$3&amp;$B26,DataTable[],COLUMNS($B$4:C24),0),""))</f>
        <v/>
      </c>
      <c r="D26" s="4" t="str">
        <f>IF($D$3="","",IFERROR(VLOOKUP($G$3&amp;$B26,DataTable[],COLUMNS($B$4:D24),0),""))</f>
        <v/>
      </c>
      <c r="E26" s="4" t="str">
        <f>IF($D$3="","",IFERROR(VLOOKUP($G$3&amp;$B26,DataTable[],COLUMNS($B$4:E24),0),""))</f>
        <v/>
      </c>
      <c r="F26" s="4" t="str">
        <f>IF($D$3="","",IFERROR(VLOOKUP($G$3&amp;$B26,DataTable[],COLUMNS($B$4:F24),0),""))</f>
        <v/>
      </c>
      <c r="G26" s="4" t="str">
        <f>IF($D$3="","",IFERROR(VLOOKUP($G$3&amp;$B26,DataTable[],COLUMNS($B$4:G24),0),""))</f>
        <v/>
      </c>
      <c r="H26" s="7" t="str">
        <f>IF($D$3="","",IFERROR(VLOOKUP($G$3&amp;$B26,DataTable[],COLUMNS($B$4:H24),0),""))</f>
        <v/>
      </c>
      <c r="I26" s="7" t="str">
        <f>IF($D$3="","",IFERROR(VLOOKUP($G$3&amp;$B26,DataTable[],COLUMNS($B$4:I24),0),""))</f>
        <v/>
      </c>
    </row>
    <row r="27" spans="2:9">
      <c r="B27" s="6" t="str">
        <f t="shared" si="0"/>
        <v/>
      </c>
      <c r="C27" s="4" t="str">
        <f>IF($D$3="","",IFERROR(VLOOKUP($G$3&amp;$B27,DataTable[],COLUMNS($B$4:C25),0),""))</f>
        <v/>
      </c>
      <c r="D27" s="4" t="str">
        <f>IF($D$3="","",IFERROR(VLOOKUP($G$3&amp;$B27,DataTable[],COLUMNS($B$4:D25),0),""))</f>
        <v/>
      </c>
      <c r="E27" s="4" t="str">
        <f>IF($D$3="","",IFERROR(VLOOKUP($G$3&amp;$B27,DataTable[],COLUMNS($B$4:E25),0),""))</f>
        <v/>
      </c>
      <c r="F27" s="4" t="str">
        <f>IF($D$3="","",IFERROR(VLOOKUP($G$3&amp;$B27,DataTable[],COLUMNS($B$4:F25),0),""))</f>
        <v/>
      </c>
      <c r="G27" s="4" t="str">
        <f>IF($D$3="","",IFERROR(VLOOKUP($G$3&amp;$B27,DataTable[],COLUMNS($B$4:G25),0),""))</f>
        <v/>
      </c>
      <c r="H27" s="7" t="str">
        <f>IF($D$3="","",IFERROR(VLOOKUP($G$3&amp;$B27,DataTable[],COLUMNS($B$4:H25),0),""))</f>
        <v/>
      </c>
      <c r="I27" s="7" t="str">
        <f>IF($D$3="","",IFERROR(VLOOKUP($G$3&amp;$B27,DataTable[],COLUMNS($B$4:I25),0),""))</f>
        <v/>
      </c>
    </row>
    <row r="28" spans="2:9">
      <c r="B28" s="6" t="str">
        <f t="shared" si="0"/>
        <v/>
      </c>
      <c r="C28" s="4" t="str">
        <f>IF($D$3="","",IFERROR(VLOOKUP($G$3&amp;$B28,DataTable[],COLUMNS($B$4:C26),0),""))</f>
        <v/>
      </c>
      <c r="D28" s="4" t="str">
        <f>IF($D$3="","",IFERROR(VLOOKUP($G$3&amp;$B28,DataTable[],COLUMNS($B$4:D26),0),""))</f>
        <v/>
      </c>
      <c r="E28" s="4" t="str">
        <f>IF($D$3="","",IFERROR(VLOOKUP($G$3&amp;$B28,DataTable[],COLUMNS($B$4:E26),0),""))</f>
        <v/>
      </c>
      <c r="F28" s="4" t="str">
        <f>IF($D$3="","",IFERROR(VLOOKUP($G$3&amp;$B28,DataTable[],COLUMNS($B$4:F26),0),""))</f>
        <v/>
      </c>
      <c r="G28" s="4" t="str">
        <f>IF($D$3="","",IFERROR(VLOOKUP($G$3&amp;$B28,DataTable[],COLUMNS($B$4:G26),0),""))</f>
        <v/>
      </c>
      <c r="H28" s="7" t="str">
        <f>IF($D$3="","",IFERROR(VLOOKUP($G$3&amp;$B28,DataTable[],COLUMNS($B$4:H26),0),""))</f>
        <v/>
      </c>
      <c r="I28" s="7" t="str">
        <f>IF($D$3="","",IFERROR(VLOOKUP($G$3&amp;$B28,DataTable[],COLUMNS($B$4:I26),0),""))</f>
        <v/>
      </c>
    </row>
    <row r="29" spans="2:9">
      <c r="B29" s="6" t="str">
        <f t="shared" si="0"/>
        <v/>
      </c>
      <c r="C29" s="4" t="str">
        <f>IF($D$3="","",IFERROR(VLOOKUP($G$3&amp;$B29,DataTable[],COLUMNS($B$4:C27),0),""))</f>
        <v/>
      </c>
      <c r="D29" s="4" t="str">
        <f>IF($D$3="","",IFERROR(VLOOKUP($G$3&amp;$B29,DataTable[],COLUMNS($B$4:D27),0),""))</f>
        <v/>
      </c>
      <c r="E29" s="4" t="str">
        <f>IF($D$3="","",IFERROR(VLOOKUP($G$3&amp;$B29,DataTable[],COLUMNS($B$4:E27),0),""))</f>
        <v/>
      </c>
      <c r="F29" s="4" t="str">
        <f>IF($D$3="","",IFERROR(VLOOKUP($G$3&amp;$B29,DataTable[],COLUMNS($B$4:F27),0),""))</f>
        <v/>
      </c>
      <c r="G29" s="4" t="str">
        <f>IF($D$3="","",IFERROR(VLOOKUP($G$3&amp;$B29,DataTable[],COLUMNS($B$4:G27),0),""))</f>
        <v/>
      </c>
      <c r="H29" s="7" t="str">
        <f>IF($D$3="","",IFERROR(VLOOKUP($G$3&amp;$B29,DataTable[],COLUMNS($B$4:H27),0),""))</f>
        <v/>
      </c>
      <c r="I29" s="7" t="str">
        <f>IF($D$3="","",IFERROR(VLOOKUP($G$3&amp;$B29,DataTable[],COLUMNS($B$4:I27),0),""))</f>
        <v/>
      </c>
    </row>
    <row r="30" spans="2:9">
      <c r="B30" s="6" t="str">
        <f t="shared" si="0"/>
        <v/>
      </c>
      <c r="C30" s="4" t="str">
        <f>IF($D$3="","",IFERROR(VLOOKUP($G$3&amp;$B30,DataTable[],COLUMNS($B$4:C28),0),""))</f>
        <v/>
      </c>
      <c r="D30" s="4" t="str">
        <f>IF($D$3="","",IFERROR(VLOOKUP($G$3&amp;$B30,DataTable[],COLUMNS($B$4:D28),0),""))</f>
        <v/>
      </c>
      <c r="E30" s="4" t="str">
        <f>IF($D$3="","",IFERROR(VLOOKUP($G$3&amp;$B30,DataTable[],COLUMNS($B$4:E28),0),""))</f>
        <v/>
      </c>
      <c r="F30" s="4" t="str">
        <f>IF($D$3="","",IFERROR(VLOOKUP($G$3&amp;$B30,DataTable[],COLUMNS($B$4:F28),0),""))</f>
        <v/>
      </c>
      <c r="G30" s="4" t="str">
        <f>IF($D$3="","",IFERROR(VLOOKUP($G$3&amp;$B30,DataTable[],COLUMNS($B$4:G28),0),""))</f>
        <v/>
      </c>
      <c r="H30" s="7" t="str">
        <f>IF($D$3="","",IFERROR(VLOOKUP($G$3&amp;$B30,DataTable[],COLUMNS($B$4:H28),0),""))</f>
        <v/>
      </c>
      <c r="I30" s="7" t="str">
        <f>IF($D$3="","",IFERROR(VLOOKUP($G$3&amp;$B30,DataTable[],COLUMNS($B$4:I28),0),""))</f>
        <v/>
      </c>
    </row>
    <row r="31" spans="2:9">
      <c r="B31" s="6" t="str">
        <f t="shared" si="0"/>
        <v/>
      </c>
      <c r="C31" s="4" t="str">
        <f>IF($D$3="","",IFERROR(VLOOKUP($G$3&amp;$B31,DataTable[],COLUMNS($B$4:C29),0),""))</f>
        <v/>
      </c>
      <c r="D31" s="4" t="str">
        <f>IF($D$3="","",IFERROR(VLOOKUP($G$3&amp;$B31,DataTable[],COLUMNS($B$4:D29),0),""))</f>
        <v/>
      </c>
      <c r="E31" s="4" t="str">
        <f>IF($D$3="","",IFERROR(VLOOKUP($G$3&amp;$B31,DataTable[],COLUMNS($B$4:E29),0),""))</f>
        <v/>
      </c>
      <c r="F31" s="4" t="str">
        <f>IF($D$3="","",IFERROR(VLOOKUP($G$3&amp;$B31,DataTable[],COLUMNS($B$4:F29),0),""))</f>
        <v/>
      </c>
      <c r="G31" s="4" t="str">
        <f>IF($D$3="","",IFERROR(VLOOKUP($G$3&amp;$B31,DataTable[],COLUMNS($B$4:G29),0),""))</f>
        <v/>
      </c>
      <c r="H31" s="7" t="str">
        <f>IF($D$3="","",IFERROR(VLOOKUP($G$3&amp;$B31,DataTable[],COLUMNS($B$4:H29),0),""))</f>
        <v/>
      </c>
      <c r="I31" s="7" t="str">
        <f>IF($D$3="","",IFERROR(VLOOKUP($G$3&amp;$B31,DataTable[],COLUMNS($B$4:I29),0),""))</f>
        <v/>
      </c>
    </row>
    <row r="32" spans="2:9">
      <c r="B32" s="6" t="str">
        <f t="shared" si="0"/>
        <v/>
      </c>
      <c r="C32" s="4" t="str">
        <f>IF($D$3="","",IFERROR(VLOOKUP($G$3&amp;$B32,DataTable[],COLUMNS($B$4:C30),0),""))</f>
        <v/>
      </c>
      <c r="D32" s="4" t="str">
        <f>IF($D$3="","",IFERROR(VLOOKUP($G$3&amp;$B32,DataTable[],COLUMNS($B$4:D30),0),""))</f>
        <v/>
      </c>
      <c r="E32" s="4" t="str">
        <f>IF($D$3="","",IFERROR(VLOOKUP($G$3&amp;$B32,DataTable[],COLUMNS($B$4:E30),0),""))</f>
        <v/>
      </c>
      <c r="F32" s="4" t="str">
        <f>IF($D$3="","",IFERROR(VLOOKUP($G$3&amp;$B32,DataTable[],COLUMNS($B$4:F30),0),""))</f>
        <v/>
      </c>
      <c r="G32" s="4" t="str">
        <f>IF($D$3="","",IFERROR(VLOOKUP($G$3&amp;$B32,DataTable[],COLUMNS($B$4:G30),0),""))</f>
        <v/>
      </c>
      <c r="H32" s="7" t="str">
        <f>IF($D$3="","",IFERROR(VLOOKUP($G$3&amp;$B32,DataTable[],COLUMNS($B$4:H30),0),""))</f>
        <v/>
      </c>
      <c r="I32" s="7" t="str">
        <f>IF($D$3="","",IFERROR(VLOOKUP($G$3&amp;$B32,DataTable[],COLUMNS($B$4:I30),0),""))</f>
        <v/>
      </c>
    </row>
    <row r="33" spans="2:9">
      <c r="B33" s="6" t="str">
        <f t="shared" si="0"/>
        <v/>
      </c>
      <c r="C33" s="4" t="str">
        <f>IF($D$3="","",IFERROR(VLOOKUP($G$3&amp;$B33,DataTable[],COLUMNS($B$4:C31),0),""))</f>
        <v/>
      </c>
      <c r="D33" s="4" t="str">
        <f>IF($D$3="","",IFERROR(VLOOKUP($G$3&amp;$B33,DataTable[],COLUMNS($B$4:D31),0),""))</f>
        <v/>
      </c>
      <c r="E33" s="4" t="str">
        <f>IF($D$3="","",IFERROR(VLOOKUP($G$3&amp;$B33,DataTable[],COLUMNS($B$4:E31),0),""))</f>
        <v/>
      </c>
      <c r="F33" s="4" t="str">
        <f>IF($D$3="","",IFERROR(VLOOKUP($G$3&amp;$B33,DataTable[],COLUMNS($B$4:F31),0),""))</f>
        <v/>
      </c>
      <c r="G33" s="4" t="str">
        <f>IF($D$3="","",IFERROR(VLOOKUP($G$3&amp;$B33,DataTable[],COLUMNS($B$4:G31),0),""))</f>
        <v/>
      </c>
      <c r="H33" s="7" t="str">
        <f>IF($D$3="","",IFERROR(VLOOKUP($G$3&amp;$B33,DataTable[],COLUMNS($B$4:H31),0),""))</f>
        <v/>
      </c>
      <c r="I33" s="7" t="str">
        <f>IF($D$3="","",IFERROR(VLOOKUP($G$3&amp;$B33,DataTable[],COLUMNS($B$4:I31),0),""))</f>
        <v/>
      </c>
    </row>
    <row r="34" spans="2:9">
      <c r="B34" s="6" t="str">
        <f t="shared" si="0"/>
        <v/>
      </c>
      <c r="C34" s="4" t="str">
        <f>IF($D$3="","",IFERROR(VLOOKUP($G$3&amp;$B34,DataTable[],COLUMNS($B$4:C32),0),""))</f>
        <v/>
      </c>
      <c r="D34" s="4" t="str">
        <f>IF($D$3="","",IFERROR(VLOOKUP($G$3&amp;$B34,DataTable[],COLUMNS($B$4:D32),0),""))</f>
        <v/>
      </c>
      <c r="E34" s="4" t="str">
        <f>IF($D$3="","",IFERROR(VLOOKUP($G$3&amp;$B34,DataTable[],COLUMNS($B$4:E32),0),""))</f>
        <v/>
      </c>
      <c r="F34" s="4" t="str">
        <f>IF($D$3="","",IFERROR(VLOOKUP($G$3&amp;$B34,DataTable[],COLUMNS($B$4:F32),0),""))</f>
        <v/>
      </c>
      <c r="G34" s="4" t="str">
        <f>IF($D$3="","",IFERROR(VLOOKUP($G$3&amp;$B34,DataTable[],COLUMNS($B$4:G32),0),""))</f>
        <v/>
      </c>
      <c r="H34" s="7" t="str">
        <f>IF($D$3="","",IFERROR(VLOOKUP($G$3&amp;$B34,DataTable[],COLUMNS($B$4:H32),0),""))</f>
        <v/>
      </c>
      <c r="I34" s="7" t="str">
        <f>IF($D$3="","",IFERROR(VLOOKUP($G$3&amp;$B34,DataTable[],COLUMNS($B$4:I32),0),""))</f>
        <v/>
      </c>
    </row>
    <row r="35" spans="2:9">
      <c r="B35" s="6" t="str">
        <f t="shared" si="0"/>
        <v/>
      </c>
      <c r="C35" s="4" t="str">
        <f>IF($D$3="","",IFERROR(VLOOKUP($G$3&amp;$B35,DataTable[],COLUMNS($B$4:C33),0),""))</f>
        <v/>
      </c>
      <c r="D35" s="4" t="str">
        <f>IF($D$3="","",IFERROR(VLOOKUP($G$3&amp;$B35,DataTable[],COLUMNS($B$4:D33),0),""))</f>
        <v/>
      </c>
      <c r="E35" s="4" t="str">
        <f>IF($D$3="","",IFERROR(VLOOKUP($G$3&amp;$B35,DataTable[],COLUMNS($B$4:E33),0),""))</f>
        <v/>
      </c>
      <c r="F35" s="4" t="str">
        <f>IF($D$3="","",IFERROR(VLOOKUP($G$3&amp;$B35,DataTable[],COLUMNS($B$4:F33),0),""))</f>
        <v/>
      </c>
      <c r="G35" s="4" t="str">
        <f>IF($D$3="","",IFERROR(VLOOKUP($G$3&amp;$B35,DataTable[],COLUMNS($B$4:G33),0),""))</f>
        <v/>
      </c>
      <c r="H35" s="7" t="str">
        <f>IF($D$3="","",IFERROR(VLOOKUP($G$3&amp;$B35,DataTable[],COLUMNS($B$4:H33),0),""))</f>
        <v/>
      </c>
      <c r="I35" s="7" t="str">
        <f>IF($D$3="","",IFERROR(VLOOKUP($G$3&amp;$B35,DataTable[],COLUMNS($B$4:I33),0),""))</f>
        <v/>
      </c>
    </row>
    <row r="36" spans="2:9">
      <c r="B36" s="6" t="str">
        <f t="shared" si="0"/>
        <v/>
      </c>
      <c r="C36" s="4" t="str">
        <f>IF($D$3="","",IFERROR(VLOOKUP($G$3&amp;$B36,DataTable[],COLUMNS($B$4:C34),0),""))</f>
        <v/>
      </c>
      <c r="D36" s="4" t="str">
        <f>IF($D$3="","",IFERROR(VLOOKUP($G$3&amp;$B36,DataTable[],COLUMNS($B$4:D34),0),""))</f>
        <v/>
      </c>
      <c r="E36" s="4" t="str">
        <f>IF($D$3="","",IFERROR(VLOOKUP($G$3&amp;$B36,DataTable[],COLUMNS($B$4:E34),0),""))</f>
        <v/>
      </c>
      <c r="F36" s="4" t="str">
        <f>IF($D$3="","",IFERROR(VLOOKUP($G$3&amp;$B36,DataTable[],COLUMNS($B$4:F34),0),""))</f>
        <v/>
      </c>
      <c r="G36" s="4" t="str">
        <f>IF($D$3="","",IFERROR(VLOOKUP($G$3&amp;$B36,DataTable[],COLUMNS($B$4:G34),0),""))</f>
        <v/>
      </c>
      <c r="H36" s="7" t="str">
        <f>IF($D$3="","",IFERROR(VLOOKUP($G$3&amp;$B36,DataTable[],COLUMNS($B$4:H34),0),""))</f>
        <v/>
      </c>
      <c r="I36" s="7" t="str">
        <f>IF($D$3="","",IFERROR(VLOOKUP($G$3&amp;$B36,DataTable[],COLUMNS($B$4:I34),0),""))</f>
        <v/>
      </c>
    </row>
    <row r="37" spans="2:9">
      <c r="B37" s="6" t="str">
        <f t="shared" si="0"/>
        <v/>
      </c>
      <c r="C37" s="4" t="str">
        <f>IF($D$3="","",IFERROR(VLOOKUP($G$3&amp;$B37,DataTable[],COLUMNS($B$4:C35),0),""))</f>
        <v/>
      </c>
      <c r="D37" s="4" t="str">
        <f>IF($D$3="","",IFERROR(VLOOKUP($G$3&amp;$B37,DataTable[],COLUMNS($B$4:D35),0),""))</f>
        <v/>
      </c>
      <c r="E37" s="4" t="str">
        <f>IF($D$3="","",IFERROR(VLOOKUP($G$3&amp;$B37,DataTable[],COLUMNS($B$4:E35),0),""))</f>
        <v/>
      </c>
      <c r="F37" s="4" t="str">
        <f>IF($D$3="","",IFERROR(VLOOKUP($G$3&amp;$B37,DataTable[],COLUMNS($B$4:F35),0),""))</f>
        <v/>
      </c>
      <c r="G37" s="4" t="str">
        <f>IF($D$3="","",IFERROR(VLOOKUP($G$3&amp;$B37,DataTable[],COLUMNS($B$4:G35),0),""))</f>
        <v/>
      </c>
      <c r="H37" s="7" t="str">
        <f>IF($D$3="","",IFERROR(VLOOKUP($G$3&amp;$B37,DataTable[],COLUMNS($B$4:H35),0),""))</f>
        <v/>
      </c>
      <c r="I37" s="7" t="str">
        <f>IF($D$3="","",IFERROR(VLOOKUP($G$3&amp;$B37,DataTable[],COLUMNS($B$4:I35),0),""))</f>
        <v/>
      </c>
    </row>
    <row r="38" spans="2:9">
      <c r="B38" s="6" t="str">
        <f t="shared" si="0"/>
        <v/>
      </c>
      <c r="C38" s="4" t="str">
        <f>IF($D$3="","",IFERROR(VLOOKUP($G$3&amp;$B38,DataTable[],COLUMNS($B$4:C36),0),""))</f>
        <v/>
      </c>
      <c r="D38" s="4" t="str">
        <f>IF($D$3="","",IFERROR(VLOOKUP($G$3&amp;$B38,DataTable[],COLUMNS($B$4:D36),0),""))</f>
        <v/>
      </c>
      <c r="E38" s="4" t="str">
        <f>IF($D$3="","",IFERROR(VLOOKUP($G$3&amp;$B38,DataTable[],COLUMNS($B$4:E36),0),""))</f>
        <v/>
      </c>
      <c r="F38" s="4" t="str">
        <f>IF($D$3="","",IFERROR(VLOOKUP($G$3&amp;$B38,DataTable[],COLUMNS($B$4:F36),0),""))</f>
        <v/>
      </c>
      <c r="G38" s="4" t="str">
        <f>IF($D$3="","",IFERROR(VLOOKUP($G$3&amp;$B38,DataTable[],COLUMNS($B$4:G36),0),""))</f>
        <v/>
      </c>
      <c r="H38" s="7" t="str">
        <f>IF($D$3="","",IFERROR(VLOOKUP($G$3&amp;$B38,DataTable[],COLUMNS($B$4:H36),0),""))</f>
        <v/>
      </c>
      <c r="I38" s="7" t="str">
        <f>IF($D$3="","",IFERROR(VLOOKUP($G$3&amp;$B38,DataTable[],COLUMNS($B$4:I36),0),""))</f>
        <v/>
      </c>
    </row>
    <row r="39" spans="2:9">
      <c r="B39" s="6" t="str">
        <f t="shared" si="0"/>
        <v/>
      </c>
      <c r="C39" s="4" t="str">
        <f>IF($D$3="","",IFERROR(VLOOKUP($G$3&amp;$B39,DataTable[],COLUMNS($B$4:C37),0),""))</f>
        <v/>
      </c>
      <c r="D39" s="4" t="str">
        <f>IF($D$3="","",IFERROR(VLOOKUP($G$3&amp;$B39,DataTable[],COLUMNS($B$4:D37),0),""))</f>
        <v/>
      </c>
      <c r="E39" s="4" t="str">
        <f>IF($D$3="","",IFERROR(VLOOKUP($G$3&amp;$B39,DataTable[],COLUMNS($B$4:E37),0),""))</f>
        <v/>
      </c>
      <c r="F39" s="4" t="str">
        <f>IF($D$3="","",IFERROR(VLOOKUP($G$3&amp;$B39,DataTable[],COLUMNS($B$4:F37),0),""))</f>
        <v/>
      </c>
      <c r="G39" s="4" t="str">
        <f>IF($D$3="","",IFERROR(VLOOKUP($G$3&amp;$B39,DataTable[],COLUMNS($B$4:G37),0),""))</f>
        <v/>
      </c>
      <c r="H39" s="7" t="str">
        <f>IF($D$3="","",IFERROR(VLOOKUP($G$3&amp;$B39,DataTable[],COLUMNS($B$4:H37),0),""))</f>
        <v/>
      </c>
      <c r="I39" s="7" t="str">
        <f>IF($D$3="","",IFERROR(VLOOKUP($G$3&amp;$B39,DataTable[],COLUMNS($B$4:I37),0),""))</f>
        <v/>
      </c>
    </row>
    <row r="40" spans="2:9">
      <c r="B40" s="6" t="str">
        <f t="shared" si="0"/>
        <v/>
      </c>
      <c r="C40" s="4" t="str">
        <f>IF($D$3="","",IFERROR(VLOOKUP($G$3&amp;$B40,DataTable[],COLUMNS($B$4:C38),0),""))</f>
        <v/>
      </c>
      <c r="D40" s="4" t="str">
        <f>IF($D$3="","",IFERROR(VLOOKUP($G$3&amp;$B40,DataTable[],COLUMNS($B$4:D38),0),""))</f>
        <v/>
      </c>
      <c r="E40" s="4" t="str">
        <f>IF($D$3="","",IFERROR(VLOOKUP($G$3&amp;$B40,DataTable[],COLUMNS($B$4:E38),0),""))</f>
        <v/>
      </c>
      <c r="F40" s="4" t="str">
        <f>IF($D$3="","",IFERROR(VLOOKUP($G$3&amp;$B40,DataTable[],COLUMNS($B$4:F38),0),""))</f>
        <v/>
      </c>
      <c r="G40" s="4" t="str">
        <f>IF($D$3="","",IFERROR(VLOOKUP($G$3&amp;$B40,DataTable[],COLUMNS($B$4:G38),0),""))</f>
        <v/>
      </c>
      <c r="H40" s="7" t="str">
        <f>IF($D$3="","",IFERROR(VLOOKUP($G$3&amp;$B40,DataTable[],COLUMNS($B$4:H38),0),""))</f>
        <v/>
      </c>
      <c r="I40" s="7" t="str">
        <f>IF($D$3="","",IFERROR(VLOOKUP($G$3&amp;$B40,DataTable[],COLUMNS($B$4:I38),0),""))</f>
        <v/>
      </c>
    </row>
    <row r="41" spans="2:9">
      <c r="B41" s="6" t="str">
        <f t="shared" si="0"/>
        <v/>
      </c>
      <c r="C41" s="4" t="str">
        <f>IF($D$3="","",IFERROR(VLOOKUP($G$3&amp;$B41,DataTable[],COLUMNS($B$4:C39),0),""))</f>
        <v/>
      </c>
      <c r="D41" s="4" t="str">
        <f>IF($D$3="","",IFERROR(VLOOKUP($G$3&amp;$B41,DataTable[],COLUMNS($B$4:D39),0),""))</f>
        <v/>
      </c>
      <c r="E41" s="4" t="str">
        <f>IF($D$3="","",IFERROR(VLOOKUP($G$3&amp;$B41,DataTable[],COLUMNS($B$4:E39),0),""))</f>
        <v/>
      </c>
      <c r="F41" s="4" t="str">
        <f>IF($D$3="","",IFERROR(VLOOKUP($G$3&amp;$B41,DataTable[],COLUMNS($B$4:F39),0),""))</f>
        <v/>
      </c>
      <c r="G41" s="4" t="str">
        <f>IF($D$3="","",IFERROR(VLOOKUP($G$3&amp;$B41,DataTable[],COLUMNS($B$4:G39),0),""))</f>
        <v/>
      </c>
      <c r="H41" s="7" t="str">
        <f>IF($D$3="","",IFERROR(VLOOKUP($G$3&amp;$B41,DataTable[],COLUMNS($B$4:H39),0),""))</f>
        <v/>
      </c>
      <c r="I41" s="7" t="str">
        <f>IF($D$3="","",IFERROR(VLOOKUP($G$3&amp;$B41,DataTable[],COLUMNS($B$4:I39),0),""))</f>
        <v/>
      </c>
    </row>
    <row r="42" spans="2:9">
      <c r="B42" s="6" t="str">
        <f t="shared" si="0"/>
        <v/>
      </c>
      <c r="C42" s="4" t="str">
        <f>IF($D$3="","",IFERROR(VLOOKUP($G$3&amp;$B42,DataTable[],COLUMNS($B$4:C40),0),""))</f>
        <v/>
      </c>
      <c r="D42" s="4" t="str">
        <f>IF($D$3="","",IFERROR(VLOOKUP($G$3&amp;$B42,DataTable[],COLUMNS($B$4:D40),0),""))</f>
        <v/>
      </c>
      <c r="E42" s="4" t="str">
        <f>IF($D$3="","",IFERROR(VLOOKUP($G$3&amp;$B42,DataTable[],COLUMNS($B$4:E40),0),""))</f>
        <v/>
      </c>
      <c r="F42" s="4" t="str">
        <f>IF($D$3="","",IFERROR(VLOOKUP($G$3&amp;$B42,DataTable[],COLUMNS($B$4:F40),0),""))</f>
        <v/>
      </c>
      <c r="G42" s="4" t="str">
        <f>IF($D$3="","",IFERROR(VLOOKUP($G$3&amp;$B42,DataTable[],COLUMNS($B$4:G40),0),""))</f>
        <v/>
      </c>
      <c r="H42" s="7" t="str">
        <f>IF($D$3="","",IFERROR(VLOOKUP($G$3&amp;$B42,DataTable[],COLUMNS($B$4:H40),0),""))</f>
        <v/>
      </c>
      <c r="I42" s="7" t="str">
        <f>IF($D$3="","",IFERROR(VLOOKUP($G$3&amp;$B42,DataTable[],COLUMNS($B$4:I40),0),""))</f>
        <v/>
      </c>
    </row>
    <row r="43" spans="2:9">
      <c r="B43" s="6" t="str">
        <f t="shared" si="0"/>
        <v/>
      </c>
      <c r="C43" s="4" t="str">
        <f>IF($D$3="","",IFERROR(VLOOKUP($G$3&amp;$B43,DataTable[],COLUMNS($B$4:C41),0),""))</f>
        <v/>
      </c>
      <c r="D43" s="4" t="str">
        <f>IF($D$3="","",IFERROR(VLOOKUP($G$3&amp;$B43,DataTable[],COLUMNS($B$4:D41),0),""))</f>
        <v/>
      </c>
      <c r="E43" s="4" t="str">
        <f>IF($D$3="","",IFERROR(VLOOKUP($G$3&amp;$B43,DataTable[],COLUMNS($B$4:E41),0),""))</f>
        <v/>
      </c>
      <c r="F43" s="4" t="str">
        <f>IF($D$3="","",IFERROR(VLOOKUP($G$3&amp;$B43,DataTable[],COLUMNS($B$4:F41),0),""))</f>
        <v/>
      </c>
      <c r="G43" s="4" t="str">
        <f>IF($D$3="","",IFERROR(VLOOKUP($G$3&amp;$B43,DataTable[],COLUMNS($B$4:G41),0),""))</f>
        <v/>
      </c>
      <c r="H43" s="7" t="str">
        <f>IF($D$3="","",IFERROR(VLOOKUP($G$3&amp;$B43,DataTable[],COLUMNS($B$4:H41),0),""))</f>
        <v/>
      </c>
      <c r="I43" s="7" t="str">
        <f>IF($D$3="","",IFERROR(VLOOKUP($G$3&amp;$B43,DataTable[],COLUMNS($B$4:I41),0),""))</f>
        <v/>
      </c>
    </row>
    <row r="44" spans="2:9">
      <c r="B44" s="6" t="str">
        <f t="shared" si="0"/>
        <v/>
      </c>
      <c r="C44" s="4" t="str">
        <f>IF($D$3="","",IFERROR(VLOOKUP($G$3&amp;$B44,DataTable[],COLUMNS($B$4:C42),0),""))</f>
        <v/>
      </c>
      <c r="D44" s="4" t="str">
        <f>IF($D$3="","",IFERROR(VLOOKUP($G$3&amp;$B44,DataTable[],COLUMNS($B$4:D42),0),""))</f>
        <v/>
      </c>
      <c r="E44" s="4" t="str">
        <f>IF($D$3="","",IFERROR(VLOOKUP($G$3&amp;$B44,DataTable[],COLUMNS($B$4:E42),0),""))</f>
        <v/>
      </c>
      <c r="F44" s="4" t="str">
        <f>IF($D$3="","",IFERROR(VLOOKUP($G$3&amp;$B44,DataTable[],COLUMNS($B$4:F42),0),""))</f>
        <v/>
      </c>
      <c r="G44" s="4" t="str">
        <f>IF($D$3="","",IFERROR(VLOOKUP($G$3&amp;$B44,DataTable[],COLUMNS($B$4:G42),0),""))</f>
        <v/>
      </c>
      <c r="H44" s="7" t="str">
        <f>IF($D$3="","",IFERROR(VLOOKUP($G$3&amp;$B44,DataTable[],COLUMNS($B$4:H42),0),""))</f>
        <v/>
      </c>
      <c r="I44" s="7" t="str">
        <f>IF($D$3="","",IFERROR(VLOOKUP($G$3&amp;$B44,DataTable[],COLUMNS($B$4:I42),0),""))</f>
        <v/>
      </c>
    </row>
    <row r="45" spans="2:9">
      <c r="B45" s="6" t="str">
        <f t="shared" si="0"/>
        <v/>
      </c>
      <c r="C45" s="4" t="str">
        <f>IF($D$3="","",IFERROR(VLOOKUP($G$3&amp;$B45,DataTable[],COLUMNS($B$4:C43),0),""))</f>
        <v/>
      </c>
      <c r="D45" s="4" t="str">
        <f>IF($D$3="","",IFERROR(VLOOKUP($G$3&amp;$B45,DataTable[],COLUMNS($B$4:D43),0),""))</f>
        <v/>
      </c>
      <c r="E45" s="4" t="str">
        <f>IF($D$3="","",IFERROR(VLOOKUP($G$3&amp;$B45,DataTable[],COLUMNS($B$4:E43),0),""))</f>
        <v/>
      </c>
      <c r="F45" s="4" t="str">
        <f>IF($D$3="","",IFERROR(VLOOKUP($G$3&amp;$B45,DataTable[],COLUMNS($B$4:F43),0),""))</f>
        <v/>
      </c>
      <c r="G45" s="4" t="str">
        <f>IF($D$3="","",IFERROR(VLOOKUP($G$3&amp;$B45,DataTable[],COLUMNS($B$4:G43),0),""))</f>
        <v/>
      </c>
      <c r="H45" s="7" t="str">
        <f>IF($D$3="","",IFERROR(VLOOKUP($G$3&amp;$B45,DataTable[],COLUMNS($B$4:H43),0),""))</f>
        <v/>
      </c>
      <c r="I45" s="7" t="str">
        <f>IF($D$3="","",IFERROR(VLOOKUP($G$3&amp;$B45,DataTable[],COLUMNS($B$4:I43),0),""))</f>
        <v/>
      </c>
    </row>
    <row r="46" spans="2:9">
      <c r="B46" s="6" t="str">
        <f t="shared" si="0"/>
        <v/>
      </c>
      <c r="C46" s="4" t="str">
        <f>IF($D$3="","",IFERROR(VLOOKUP($G$3&amp;$B46,DataTable[],COLUMNS($B$4:C44),0),""))</f>
        <v/>
      </c>
      <c r="D46" s="4" t="str">
        <f>IF($D$3="","",IFERROR(VLOOKUP($G$3&amp;$B46,DataTable[],COLUMNS($B$4:D44),0),""))</f>
        <v/>
      </c>
      <c r="E46" s="4" t="str">
        <f>IF($D$3="","",IFERROR(VLOOKUP($G$3&amp;$B46,DataTable[],COLUMNS($B$4:E44),0),""))</f>
        <v/>
      </c>
      <c r="F46" s="4" t="str">
        <f>IF($D$3="","",IFERROR(VLOOKUP($G$3&amp;$B46,DataTable[],COLUMNS($B$4:F44),0),""))</f>
        <v/>
      </c>
      <c r="G46" s="4" t="str">
        <f>IF($D$3="","",IFERROR(VLOOKUP($G$3&amp;$B46,DataTable[],COLUMNS($B$4:G44),0),""))</f>
        <v/>
      </c>
      <c r="H46" s="7" t="str">
        <f>IF($D$3="","",IFERROR(VLOOKUP($G$3&amp;$B46,DataTable[],COLUMNS($B$4:H44),0),""))</f>
        <v/>
      </c>
      <c r="I46" s="7" t="str">
        <f>IF($D$3="","",IFERROR(VLOOKUP($G$3&amp;$B46,DataTable[],COLUMNS($B$4:I44),0),""))</f>
        <v/>
      </c>
    </row>
    <row r="47" spans="2:9">
      <c r="B47" s="6" t="str">
        <f t="shared" si="0"/>
        <v/>
      </c>
      <c r="C47" s="4" t="str">
        <f>IF($D$3="","",IFERROR(VLOOKUP($G$3&amp;$B47,DataTable[],COLUMNS($B$4:C45),0),""))</f>
        <v/>
      </c>
      <c r="D47" s="4" t="str">
        <f>IF($D$3="","",IFERROR(VLOOKUP($G$3&amp;$B47,DataTable[],COLUMNS($B$4:D45),0),""))</f>
        <v/>
      </c>
      <c r="E47" s="4" t="str">
        <f>IF($D$3="","",IFERROR(VLOOKUP($G$3&amp;$B47,DataTable[],COLUMNS($B$4:E45),0),""))</f>
        <v/>
      </c>
      <c r="F47" s="4" t="str">
        <f>IF($D$3="","",IFERROR(VLOOKUP($G$3&amp;$B47,DataTable[],COLUMNS($B$4:F45),0),""))</f>
        <v/>
      </c>
      <c r="G47" s="4" t="str">
        <f>IF($D$3="","",IFERROR(VLOOKUP($G$3&amp;$B47,DataTable[],COLUMNS($B$4:G45),0),""))</f>
        <v/>
      </c>
      <c r="H47" s="7" t="str">
        <f>IF($D$3="","",IFERROR(VLOOKUP($G$3&amp;$B47,DataTable[],COLUMNS($B$4:H45),0),""))</f>
        <v/>
      </c>
      <c r="I47" s="7" t="str">
        <f>IF($D$3="","",IFERROR(VLOOKUP($G$3&amp;$B47,DataTable[],COLUMNS($B$4:I45),0),""))</f>
        <v/>
      </c>
    </row>
    <row r="48" spans="2:9">
      <c r="B48" s="6" t="str">
        <f t="shared" si="0"/>
        <v/>
      </c>
      <c r="C48" s="4" t="str">
        <f>IF($D$3="","",IFERROR(VLOOKUP($G$3&amp;$B48,DataTable[],COLUMNS($B$4:C46),0),""))</f>
        <v/>
      </c>
      <c r="D48" s="4" t="str">
        <f>IF($D$3="","",IFERROR(VLOOKUP($G$3&amp;$B48,DataTable[],COLUMNS($B$4:D46),0),""))</f>
        <v/>
      </c>
      <c r="E48" s="4" t="str">
        <f>IF($D$3="","",IFERROR(VLOOKUP($G$3&amp;$B48,DataTable[],COLUMNS($B$4:E46),0),""))</f>
        <v/>
      </c>
      <c r="F48" s="4" t="str">
        <f>IF($D$3="","",IFERROR(VLOOKUP($G$3&amp;$B48,DataTable[],COLUMNS($B$4:F46),0),""))</f>
        <v/>
      </c>
      <c r="G48" s="4" t="str">
        <f>IF($D$3="","",IFERROR(VLOOKUP($G$3&amp;$B48,DataTable[],COLUMNS($B$4:G46),0),""))</f>
        <v/>
      </c>
      <c r="H48" s="7" t="str">
        <f>IF($D$3="","",IFERROR(VLOOKUP($G$3&amp;$B48,DataTable[],COLUMNS($B$4:H46),0),""))</f>
        <v/>
      </c>
      <c r="I48" s="7" t="str">
        <f>IF($D$3="","",IFERROR(VLOOKUP($G$3&amp;$B48,DataTable[],COLUMNS($B$4:I46),0),""))</f>
        <v/>
      </c>
    </row>
    <row r="49" spans="2:9">
      <c r="B49" s="6" t="str">
        <f t="shared" si="0"/>
        <v/>
      </c>
      <c r="C49" s="4" t="str">
        <f>IF($D$3="","",IFERROR(VLOOKUP($G$3&amp;$B49,DataTable[],COLUMNS($B$4:C47),0),""))</f>
        <v/>
      </c>
      <c r="D49" s="4" t="str">
        <f>IF($D$3="","",IFERROR(VLOOKUP($G$3&amp;$B49,DataTable[],COLUMNS($B$4:D47),0),""))</f>
        <v/>
      </c>
      <c r="E49" s="4" t="str">
        <f>IF($D$3="","",IFERROR(VLOOKUP($G$3&amp;$B49,DataTable[],COLUMNS($B$4:E47),0),""))</f>
        <v/>
      </c>
      <c r="F49" s="4" t="str">
        <f>IF($D$3="","",IFERROR(VLOOKUP($G$3&amp;$B49,DataTable[],COLUMNS($B$4:F47),0),""))</f>
        <v/>
      </c>
      <c r="G49" s="4" t="str">
        <f>IF($D$3="","",IFERROR(VLOOKUP($G$3&amp;$B49,DataTable[],COLUMNS($B$4:G47),0),""))</f>
        <v/>
      </c>
      <c r="H49" s="7" t="str">
        <f>IF($D$3="","",IFERROR(VLOOKUP($G$3&amp;$B49,DataTable[],COLUMNS($B$4:H47),0),""))</f>
        <v/>
      </c>
      <c r="I49" s="7" t="str">
        <f>IF($D$3="","",IFERROR(VLOOKUP($G$3&amp;$B49,DataTable[],COLUMNS($B$4:I47),0),""))</f>
        <v/>
      </c>
    </row>
    <row r="50" spans="2:9">
      <c r="B50" s="6" t="str">
        <f t="shared" si="0"/>
        <v/>
      </c>
      <c r="C50" s="4" t="str">
        <f>IF($D$3="","",IFERROR(VLOOKUP($G$3&amp;$B50,DataTable[],COLUMNS($B$4:C48),0),""))</f>
        <v/>
      </c>
      <c r="D50" s="4" t="str">
        <f>IF($D$3="","",IFERROR(VLOOKUP($G$3&amp;$B50,DataTable[],COLUMNS($B$4:D48),0),""))</f>
        <v/>
      </c>
      <c r="E50" s="4" t="str">
        <f>IF($D$3="","",IFERROR(VLOOKUP($G$3&amp;$B50,DataTable[],COLUMNS($B$4:E48),0),""))</f>
        <v/>
      </c>
      <c r="F50" s="4" t="str">
        <f>IF($D$3="","",IFERROR(VLOOKUP($G$3&amp;$B50,DataTable[],COLUMNS($B$4:F48),0),""))</f>
        <v/>
      </c>
      <c r="G50" s="4" t="str">
        <f>IF($D$3="","",IFERROR(VLOOKUP($G$3&amp;$B50,DataTable[],COLUMNS($B$4:G48),0),""))</f>
        <v/>
      </c>
      <c r="H50" s="7" t="str">
        <f>IF($D$3="","",IFERROR(VLOOKUP($G$3&amp;$B50,DataTable[],COLUMNS($B$4:H48),0),""))</f>
        <v/>
      </c>
      <c r="I50" s="7" t="str">
        <f>IF($D$3="","",IFERROR(VLOOKUP($G$3&amp;$B50,DataTable[],COLUMNS($B$4:I48),0),""))</f>
        <v/>
      </c>
    </row>
    <row r="51" spans="2:9">
      <c r="B51" s="6" t="str">
        <f t="shared" si="0"/>
        <v/>
      </c>
      <c r="C51" s="4" t="str">
        <f>IF($D$3="","",IFERROR(VLOOKUP($G$3&amp;$B51,DataTable[],COLUMNS($B$4:C49),0),""))</f>
        <v/>
      </c>
      <c r="D51" s="4" t="str">
        <f>IF($D$3="","",IFERROR(VLOOKUP($G$3&amp;$B51,DataTable[],COLUMNS($B$4:D49),0),""))</f>
        <v/>
      </c>
      <c r="E51" s="4" t="str">
        <f>IF($D$3="","",IFERROR(VLOOKUP($G$3&amp;$B51,DataTable[],COLUMNS($B$4:E49),0),""))</f>
        <v/>
      </c>
      <c r="F51" s="4" t="str">
        <f>IF($D$3="","",IFERROR(VLOOKUP($G$3&amp;$B51,DataTable[],COLUMNS($B$4:F49),0),""))</f>
        <v/>
      </c>
      <c r="G51" s="4" t="str">
        <f>IF($D$3="","",IFERROR(VLOOKUP($G$3&amp;$B51,DataTable[],COLUMNS($B$4:G49),0),""))</f>
        <v/>
      </c>
      <c r="H51" s="7" t="str">
        <f>IF($D$3="","",IFERROR(VLOOKUP($G$3&amp;$B51,DataTable[],COLUMNS($B$4:H49),0),""))</f>
        <v/>
      </c>
      <c r="I51" s="7" t="str">
        <f>IF($D$3="","",IFERROR(VLOOKUP($G$3&amp;$B51,DataTable[],COLUMNS($B$4:I49),0),""))</f>
        <v/>
      </c>
    </row>
    <row r="52" spans="2:9">
      <c r="B52" s="6" t="str">
        <f t="shared" si="0"/>
        <v/>
      </c>
      <c r="C52" s="4" t="str">
        <f>IF($D$3="","",IFERROR(VLOOKUP($G$3&amp;$B52,DataTable[],COLUMNS($B$4:C50),0),""))</f>
        <v/>
      </c>
      <c r="D52" s="4" t="str">
        <f>IF($D$3="","",IFERROR(VLOOKUP($G$3&amp;$B52,DataTable[],COLUMNS($B$4:D50),0),""))</f>
        <v/>
      </c>
      <c r="E52" s="4" t="str">
        <f>IF($D$3="","",IFERROR(VLOOKUP($G$3&amp;$B52,DataTable[],COLUMNS($B$4:E50),0),""))</f>
        <v/>
      </c>
      <c r="F52" s="4" t="str">
        <f>IF($D$3="","",IFERROR(VLOOKUP($G$3&amp;$B52,DataTable[],COLUMNS($B$4:F50),0),""))</f>
        <v/>
      </c>
      <c r="G52" s="4" t="str">
        <f>IF($D$3="","",IFERROR(VLOOKUP($G$3&amp;$B52,DataTable[],COLUMNS($B$4:G50),0),""))</f>
        <v/>
      </c>
      <c r="H52" s="7" t="str">
        <f>IF($D$3="","",IFERROR(VLOOKUP($G$3&amp;$B52,DataTable[],COLUMNS($B$4:H50),0),""))</f>
        <v/>
      </c>
      <c r="I52" s="7" t="str">
        <f>IF($D$3="","",IFERROR(VLOOKUP($G$3&amp;$B52,DataTable[],COLUMNS($B$4:I50),0),""))</f>
        <v/>
      </c>
    </row>
    <row r="53" spans="2:9">
      <c r="B53" s="6" t="str">
        <f t="shared" si="0"/>
        <v/>
      </c>
      <c r="C53" s="4" t="str">
        <f>IF($D$3="","",IFERROR(VLOOKUP($G$3&amp;$B53,DataTable[],COLUMNS($B$4:C51),0),""))</f>
        <v/>
      </c>
      <c r="D53" s="4" t="str">
        <f>IF($D$3="","",IFERROR(VLOOKUP($G$3&amp;$B53,DataTable[],COLUMNS($B$4:D51),0),""))</f>
        <v/>
      </c>
      <c r="E53" s="4" t="str">
        <f>IF($D$3="","",IFERROR(VLOOKUP($G$3&amp;$B53,DataTable[],COLUMNS($B$4:E51),0),""))</f>
        <v/>
      </c>
      <c r="F53" s="4" t="str">
        <f>IF($D$3="","",IFERROR(VLOOKUP($G$3&amp;$B53,DataTable[],COLUMNS($B$4:F51),0),""))</f>
        <v/>
      </c>
      <c r="G53" s="4" t="str">
        <f>IF($D$3="","",IFERROR(VLOOKUP($G$3&amp;$B53,DataTable[],COLUMNS($B$4:G51),0),""))</f>
        <v/>
      </c>
      <c r="H53" s="7" t="str">
        <f>IF($D$3="","",IFERROR(VLOOKUP($G$3&amp;$B53,DataTable[],COLUMNS($B$4:H51),0),""))</f>
        <v/>
      </c>
      <c r="I53" s="7" t="str">
        <f>IF($D$3="","",IFERROR(VLOOKUP($G$3&amp;$B53,DataTable[],COLUMNS($B$4:I51),0),""))</f>
        <v/>
      </c>
    </row>
    <row r="54" spans="2:9">
      <c r="B54" s="6" t="str">
        <f t="shared" si="0"/>
        <v/>
      </c>
      <c r="C54" s="4" t="str">
        <f>IF($D$3="","",IFERROR(VLOOKUP($G$3&amp;$B54,DataTable[],COLUMNS($B$4:C52),0),""))</f>
        <v/>
      </c>
      <c r="D54" s="4" t="str">
        <f>IF($D$3="","",IFERROR(VLOOKUP($G$3&amp;$B54,DataTable[],COLUMNS($B$4:D52),0),""))</f>
        <v/>
      </c>
      <c r="E54" s="4" t="str">
        <f>IF($D$3="","",IFERROR(VLOOKUP($G$3&amp;$B54,DataTable[],COLUMNS($B$4:E52),0),""))</f>
        <v/>
      </c>
      <c r="F54" s="4" t="str">
        <f>IF($D$3="","",IFERROR(VLOOKUP($G$3&amp;$B54,DataTable[],COLUMNS($B$4:F52),0),""))</f>
        <v/>
      </c>
      <c r="G54" s="4" t="str">
        <f>IF($D$3="","",IFERROR(VLOOKUP($G$3&amp;$B54,DataTable[],COLUMNS($B$4:G52),0),""))</f>
        <v/>
      </c>
      <c r="H54" s="7" t="str">
        <f>IF($D$3="","",IFERROR(VLOOKUP($G$3&amp;$B54,DataTable[],COLUMNS($B$4:H52),0),""))</f>
        <v/>
      </c>
      <c r="I54" s="7" t="str">
        <f>IF($D$3="","",IFERROR(VLOOKUP($G$3&amp;$B54,DataTable[],COLUMNS($B$4:I52),0),""))</f>
        <v/>
      </c>
    </row>
    <row r="55" spans="2:9">
      <c r="B55" s="6" t="str">
        <f t="shared" si="0"/>
        <v/>
      </c>
      <c r="C55" s="4" t="str">
        <f>IF($D$3="","",IFERROR(VLOOKUP($G$3&amp;$B55,DataTable[],COLUMNS($B$4:C53),0),""))</f>
        <v/>
      </c>
      <c r="D55" s="4" t="str">
        <f>IF($D$3="","",IFERROR(VLOOKUP($G$3&amp;$B55,DataTable[],COLUMNS($B$4:D53),0),""))</f>
        <v/>
      </c>
      <c r="E55" s="4" t="str">
        <f>IF($D$3="","",IFERROR(VLOOKUP($G$3&amp;$B55,DataTable[],COLUMNS($B$4:E53),0),""))</f>
        <v/>
      </c>
      <c r="F55" s="4" t="str">
        <f>IF($D$3="","",IFERROR(VLOOKUP($G$3&amp;$B55,DataTable[],COLUMNS($B$4:F53),0),""))</f>
        <v/>
      </c>
      <c r="G55" s="4" t="str">
        <f>IF($D$3="","",IFERROR(VLOOKUP($G$3&amp;$B55,DataTable[],COLUMNS($B$4:G53),0),""))</f>
        <v/>
      </c>
      <c r="H55" s="7" t="str">
        <f>IF($D$3="","",IFERROR(VLOOKUP($G$3&amp;$B55,DataTable[],COLUMNS($B$4:H53),0),""))</f>
        <v/>
      </c>
      <c r="I55" s="7" t="str">
        <f>IF($D$3="","",IFERROR(VLOOKUP($G$3&amp;$B55,DataTable[],COLUMNS($B$4:I53),0),""))</f>
        <v/>
      </c>
    </row>
    <row r="56" spans="2:9">
      <c r="B56" s="6" t="str">
        <f t="shared" si="0"/>
        <v/>
      </c>
      <c r="C56" s="4" t="str">
        <f>IF($D$3="","",IFERROR(VLOOKUP($G$3&amp;$B56,DataTable[],COLUMNS($B$4:C54),0),""))</f>
        <v/>
      </c>
      <c r="D56" s="4" t="str">
        <f>IF($D$3="","",IFERROR(VLOOKUP($G$3&amp;$B56,DataTable[],COLUMNS($B$4:D54),0),""))</f>
        <v/>
      </c>
      <c r="E56" s="4" t="str">
        <f>IF($D$3="","",IFERROR(VLOOKUP($G$3&amp;$B56,DataTable[],COLUMNS($B$4:E54),0),""))</f>
        <v/>
      </c>
      <c r="F56" s="4" t="str">
        <f>IF($D$3="","",IFERROR(VLOOKUP($G$3&amp;$B56,DataTable[],COLUMNS($B$4:F54),0),""))</f>
        <v/>
      </c>
      <c r="G56" s="4" t="str">
        <f>IF($D$3="","",IFERROR(VLOOKUP($G$3&amp;$B56,DataTable[],COLUMNS($B$4:G54),0),""))</f>
        <v/>
      </c>
      <c r="H56" s="7" t="str">
        <f>IF($D$3="","",IFERROR(VLOOKUP($G$3&amp;$B56,DataTable[],COLUMNS($B$4:H54),0),""))</f>
        <v/>
      </c>
      <c r="I56" s="7" t="str">
        <f>IF($D$3="","",IFERROR(VLOOKUP($G$3&amp;$B56,DataTable[],COLUMNS($B$4:I54),0),""))</f>
        <v/>
      </c>
    </row>
    <row r="57" spans="2:9">
      <c r="B57" s="6" t="str">
        <f t="shared" si="0"/>
        <v/>
      </c>
      <c r="C57" s="4" t="str">
        <f>IF($D$3="","",IFERROR(VLOOKUP($G$3&amp;$B57,DataTable[],COLUMNS($B$4:C55),0),""))</f>
        <v/>
      </c>
      <c r="D57" s="4" t="str">
        <f>IF($D$3="","",IFERROR(VLOOKUP($G$3&amp;$B57,DataTable[],COLUMNS($B$4:D55),0),""))</f>
        <v/>
      </c>
      <c r="E57" s="4" t="str">
        <f>IF($D$3="","",IFERROR(VLOOKUP($G$3&amp;$B57,DataTable[],COLUMNS($B$4:E55),0),""))</f>
        <v/>
      </c>
      <c r="F57" s="4" t="str">
        <f>IF($D$3="","",IFERROR(VLOOKUP($G$3&amp;$B57,DataTable[],COLUMNS($B$4:F55),0),""))</f>
        <v/>
      </c>
      <c r="G57" s="4" t="str">
        <f>IF($D$3="","",IFERROR(VLOOKUP($G$3&amp;$B57,DataTable[],COLUMNS($B$4:G55),0),""))</f>
        <v/>
      </c>
      <c r="H57" s="7" t="str">
        <f>IF($D$3="","",IFERROR(VLOOKUP($G$3&amp;$B57,DataTable[],COLUMNS($B$4:H55),0),""))</f>
        <v/>
      </c>
      <c r="I57" s="7" t="str">
        <f>IF($D$3="","",IFERROR(VLOOKUP($G$3&amp;$B57,DataTable[],COLUMNS($B$4:I55),0),""))</f>
        <v/>
      </c>
    </row>
    <row r="58" spans="2:9">
      <c r="B58" s="6" t="str">
        <f t="shared" si="0"/>
        <v/>
      </c>
      <c r="C58" s="4" t="str">
        <f>IF($D$3="","",IFERROR(VLOOKUP($G$3&amp;$B58,DataTable[],COLUMNS($B$4:C56),0),""))</f>
        <v/>
      </c>
      <c r="D58" s="4" t="str">
        <f>IF($D$3="","",IFERROR(VLOOKUP($G$3&amp;$B58,DataTable[],COLUMNS($B$4:D56),0),""))</f>
        <v/>
      </c>
      <c r="E58" s="4" t="str">
        <f>IF($D$3="","",IFERROR(VLOOKUP($G$3&amp;$B58,DataTable[],COLUMNS($B$4:E56),0),""))</f>
        <v/>
      </c>
      <c r="F58" s="4" t="str">
        <f>IF($D$3="","",IFERROR(VLOOKUP($G$3&amp;$B58,DataTable[],COLUMNS($B$4:F56),0),""))</f>
        <v/>
      </c>
      <c r="G58" s="4" t="str">
        <f>IF($D$3="","",IFERROR(VLOOKUP($G$3&amp;$B58,DataTable[],COLUMNS($B$4:G56),0),""))</f>
        <v/>
      </c>
      <c r="H58" s="7" t="str">
        <f>IF($D$3="","",IFERROR(VLOOKUP($G$3&amp;$B58,DataTable[],COLUMNS($B$4:H56),0),""))</f>
        <v/>
      </c>
      <c r="I58" s="7" t="str">
        <f>IF($D$3="","",IFERROR(VLOOKUP($G$3&amp;$B58,DataTable[],COLUMNS($B$4:I56),0),""))</f>
        <v/>
      </c>
    </row>
    <row r="59" spans="2:9">
      <c r="B59" s="6" t="str">
        <f t="shared" si="0"/>
        <v/>
      </c>
      <c r="C59" s="4" t="str">
        <f>IF($D$3="","",IFERROR(VLOOKUP($G$3&amp;$B59,DataTable[],COLUMNS($B$4:C57),0),""))</f>
        <v/>
      </c>
      <c r="D59" s="4" t="str">
        <f>IF($D$3="","",IFERROR(VLOOKUP($G$3&amp;$B59,DataTable[],COLUMNS($B$4:D57),0),""))</f>
        <v/>
      </c>
      <c r="E59" s="4" t="str">
        <f>IF($D$3="","",IFERROR(VLOOKUP($G$3&amp;$B59,DataTable[],COLUMNS($B$4:E57),0),""))</f>
        <v/>
      </c>
      <c r="F59" s="4" t="str">
        <f>IF($D$3="","",IFERROR(VLOOKUP($G$3&amp;$B59,DataTable[],COLUMNS($B$4:F57),0),""))</f>
        <v/>
      </c>
      <c r="G59" s="4" t="str">
        <f>IF($D$3="","",IFERROR(VLOOKUP($G$3&amp;$B59,DataTable[],COLUMNS($B$4:G57),0),""))</f>
        <v/>
      </c>
      <c r="H59" s="7" t="str">
        <f>IF($D$3="","",IFERROR(VLOOKUP($G$3&amp;$B59,DataTable[],COLUMNS($B$4:H57),0),""))</f>
        <v/>
      </c>
      <c r="I59" s="7" t="str">
        <f>IF($D$3="","",IFERROR(VLOOKUP($G$3&amp;$B59,DataTable[],COLUMNS($B$4:I57),0),""))</f>
        <v/>
      </c>
    </row>
    <row r="60" spans="2:9">
      <c r="B60" s="6" t="str">
        <f t="shared" si="0"/>
        <v/>
      </c>
      <c r="C60" s="4" t="str">
        <f>IF($D$3="","",IFERROR(VLOOKUP($G$3&amp;$B60,DataTable[],COLUMNS($B$4:C58),0),""))</f>
        <v/>
      </c>
      <c r="D60" s="4" t="str">
        <f>IF($D$3="","",IFERROR(VLOOKUP($G$3&amp;$B60,DataTable[],COLUMNS($B$4:D58),0),""))</f>
        <v/>
      </c>
      <c r="E60" s="4" t="str">
        <f>IF($D$3="","",IFERROR(VLOOKUP($G$3&amp;$B60,DataTable[],COLUMNS($B$4:E58),0),""))</f>
        <v/>
      </c>
      <c r="F60" s="4" t="str">
        <f>IF($D$3="","",IFERROR(VLOOKUP($G$3&amp;$B60,DataTable[],COLUMNS($B$4:F58),0),""))</f>
        <v/>
      </c>
      <c r="G60" s="4" t="str">
        <f>IF($D$3="","",IFERROR(VLOOKUP($G$3&amp;$B60,DataTable[],COLUMNS($B$4:G58),0),""))</f>
        <v/>
      </c>
      <c r="H60" s="7" t="str">
        <f>IF($D$3="","",IFERROR(VLOOKUP($G$3&amp;$B60,DataTable[],COLUMNS($B$4:H58),0),""))</f>
        <v/>
      </c>
      <c r="I60" s="7" t="str">
        <f>IF($D$3="","",IFERROR(VLOOKUP($G$3&amp;$B60,DataTable[],COLUMNS($B$4:I58),0),""))</f>
        <v/>
      </c>
    </row>
    <row r="61" spans="2:9">
      <c r="B61" s="6" t="str">
        <f t="shared" si="0"/>
        <v/>
      </c>
      <c r="C61" s="4" t="str">
        <f>IF($D$3="","",IFERROR(VLOOKUP($G$3&amp;$B61,DataTable[],COLUMNS($B$4:C59),0),""))</f>
        <v/>
      </c>
      <c r="D61" s="4" t="str">
        <f>IF($D$3="","",IFERROR(VLOOKUP($G$3&amp;$B61,DataTable[],COLUMNS($B$4:D59),0),""))</f>
        <v/>
      </c>
      <c r="E61" s="4" t="str">
        <f>IF($D$3="","",IFERROR(VLOOKUP($G$3&amp;$B61,DataTable[],COLUMNS($B$4:E59),0),""))</f>
        <v/>
      </c>
      <c r="F61" s="4" t="str">
        <f>IF($D$3="","",IFERROR(VLOOKUP($G$3&amp;$B61,DataTable[],COLUMNS($B$4:F59),0),""))</f>
        <v/>
      </c>
      <c r="G61" s="4" t="str">
        <f>IF($D$3="","",IFERROR(VLOOKUP($G$3&amp;$B61,DataTable[],COLUMNS($B$4:G59),0),""))</f>
        <v/>
      </c>
      <c r="H61" s="7" t="str">
        <f>IF($D$3="","",IFERROR(VLOOKUP($G$3&amp;$B61,DataTable[],COLUMNS($B$4:H59),0),""))</f>
        <v/>
      </c>
      <c r="I61" s="7" t="str">
        <f>IF($D$3="","",IFERROR(VLOOKUP($G$3&amp;$B61,DataTable[],COLUMNS($B$4:I59),0),""))</f>
        <v/>
      </c>
    </row>
    <row r="62" spans="2:9">
      <c r="B62" s="6" t="str">
        <f t="shared" si="0"/>
        <v/>
      </c>
      <c r="C62" s="4" t="str">
        <f>IF($D$3="","",IFERROR(VLOOKUP($G$3&amp;$B62,DataTable[],COLUMNS($B$4:C60),0),""))</f>
        <v/>
      </c>
      <c r="D62" s="4" t="str">
        <f>IF($D$3="","",IFERROR(VLOOKUP($G$3&amp;$B62,DataTable[],COLUMNS($B$4:D60),0),""))</f>
        <v/>
      </c>
      <c r="E62" s="4" t="str">
        <f>IF($D$3="","",IFERROR(VLOOKUP($G$3&amp;$B62,DataTable[],COLUMNS($B$4:E60),0),""))</f>
        <v/>
      </c>
      <c r="F62" s="4" t="str">
        <f>IF($D$3="","",IFERROR(VLOOKUP($G$3&amp;$B62,DataTable[],COLUMNS($B$4:F60),0),""))</f>
        <v/>
      </c>
      <c r="G62" s="4" t="str">
        <f>IF($D$3="","",IFERROR(VLOOKUP($G$3&amp;$B62,DataTable[],COLUMNS($B$4:G60),0),""))</f>
        <v/>
      </c>
      <c r="H62" s="7" t="str">
        <f>IF($D$3="","",IFERROR(VLOOKUP($G$3&amp;$B62,DataTable[],COLUMNS($B$4:H60),0),""))</f>
        <v/>
      </c>
      <c r="I62" s="7" t="str">
        <f>IF($D$3="","",IFERROR(VLOOKUP($G$3&amp;$B62,DataTable[],COLUMNS($B$4:I60),0),""))</f>
        <v/>
      </c>
    </row>
    <row r="63" spans="2:9">
      <c r="B63" s="6" t="str">
        <f t="shared" si="0"/>
        <v/>
      </c>
      <c r="C63" s="4" t="str">
        <f>IF($D$3="","",IFERROR(VLOOKUP($G$3&amp;$B63,DataTable[],COLUMNS($B$4:C61),0),""))</f>
        <v/>
      </c>
      <c r="D63" s="4" t="str">
        <f>IF($D$3="","",IFERROR(VLOOKUP($G$3&amp;$B63,DataTable[],COLUMNS($B$4:D61),0),""))</f>
        <v/>
      </c>
      <c r="E63" s="4" t="str">
        <f>IF($D$3="","",IFERROR(VLOOKUP($G$3&amp;$B63,DataTable[],COLUMNS($B$4:E61),0),""))</f>
        <v/>
      </c>
      <c r="F63" s="4" t="str">
        <f>IF($D$3="","",IFERROR(VLOOKUP($G$3&amp;$B63,DataTable[],COLUMNS($B$4:F61),0),""))</f>
        <v/>
      </c>
      <c r="G63" s="4" t="str">
        <f>IF($D$3="","",IFERROR(VLOOKUP($G$3&amp;$B63,DataTable[],COLUMNS($B$4:G61),0),""))</f>
        <v/>
      </c>
      <c r="H63" s="7" t="str">
        <f>IF($D$3="","",IFERROR(VLOOKUP($G$3&amp;$B63,DataTable[],COLUMNS($B$4:H61),0),""))</f>
        <v/>
      </c>
      <c r="I63" s="7" t="str">
        <f>IF($D$3="","",IFERROR(VLOOKUP($G$3&amp;$B63,DataTable[],COLUMNS($B$4:I61),0),""))</f>
        <v/>
      </c>
    </row>
    <row r="64" spans="2:9">
      <c r="B64" s="6" t="str">
        <f t="shared" si="0"/>
        <v/>
      </c>
      <c r="C64" s="4" t="str">
        <f>IF($D$3="","",IFERROR(VLOOKUP($G$3&amp;$B64,DataTable[],COLUMNS($B$4:C62),0),""))</f>
        <v/>
      </c>
      <c r="D64" s="4" t="str">
        <f>IF($D$3="","",IFERROR(VLOOKUP($G$3&amp;$B64,DataTable[],COLUMNS($B$4:D62),0),""))</f>
        <v/>
      </c>
      <c r="E64" s="4" t="str">
        <f>IF($D$3="","",IFERROR(VLOOKUP($G$3&amp;$B64,DataTable[],COLUMNS($B$4:E62),0),""))</f>
        <v/>
      </c>
      <c r="F64" s="4" t="str">
        <f>IF($D$3="","",IFERROR(VLOOKUP($G$3&amp;$B64,DataTable[],COLUMNS($B$4:F62),0),""))</f>
        <v/>
      </c>
      <c r="G64" s="4" t="str">
        <f>IF($D$3="","",IFERROR(VLOOKUP($G$3&amp;$B64,DataTable[],COLUMNS($B$4:G62),0),""))</f>
        <v/>
      </c>
      <c r="H64" s="7" t="str">
        <f>IF($D$3="","",IFERROR(VLOOKUP($G$3&amp;$B64,DataTable[],COLUMNS($B$4:H62),0),""))</f>
        <v/>
      </c>
      <c r="I64" s="7" t="str">
        <f>IF($D$3="","",IFERROR(VLOOKUP($G$3&amp;$B64,DataTable[],COLUMNS($B$4:I62),0),""))</f>
        <v/>
      </c>
    </row>
    <row r="65" spans="2:9">
      <c r="B65" s="6" t="str">
        <f t="shared" si="0"/>
        <v/>
      </c>
      <c r="C65" s="4" t="str">
        <f>IF($D$3="","",IFERROR(VLOOKUP($G$3&amp;$B65,DataTable[],COLUMNS($B$4:C63),0),""))</f>
        <v/>
      </c>
      <c r="D65" s="4" t="str">
        <f>IF($D$3="","",IFERROR(VLOOKUP($G$3&amp;$B65,DataTable[],COLUMNS($B$4:D63),0),""))</f>
        <v/>
      </c>
      <c r="E65" s="4" t="str">
        <f>IF($D$3="","",IFERROR(VLOOKUP($G$3&amp;$B65,DataTable[],COLUMNS($B$4:E63),0),""))</f>
        <v/>
      </c>
      <c r="F65" s="4" t="str">
        <f>IF($D$3="","",IFERROR(VLOOKUP($G$3&amp;$B65,DataTable[],COLUMNS($B$4:F63),0),""))</f>
        <v/>
      </c>
      <c r="G65" s="4" t="str">
        <f>IF($D$3="","",IFERROR(VLOOKUP($G$3&amp;$B65,DataTable[],COLUMNS($B$4:G63),0),""))</f>
        <v/>
      </c>
      <c r="H65" s="7" t="str">
        <f>IF($D$3="","",IFERROR(VLOOKUP($G$3&amp;$B65,DataTable[],COLUMNS($B$4:H63),0),""))</f>
        <v/>
      </c>
      <c r="I65" s="7" t="str">
        <f>IF($D$3="","",IFERROR(VLOOKUP($G$3&amp;$B65,DataTable[],COLUMNS($B$4:I63),0),""))</f>
        <v/>
      </c>
    </row>
    <row r="66" spans="2:9">
      <c r="B66" s="6" t="str">
        <f t="shared" si="0"/>
        <v/>
      </c>
      <c r="C66" s="4" t="str">
        <f>IF($D$3="","",IFERROR(VLOOKUP($G$3&amp;$B66,DataTable[],COLUMNS($B$4:C64),0),""))</f>
        <v/>
      </c>
      <c r="D66" s="4" t="str">
        <f>IF($D$3="","",IFERROR(VLOOKUP($G$3&amp;$B66,DataTable[],COLUMNS($B$4:D64),0),""))</f>
        <v/>
      </c>
      <c r="E66" s="4" t="str">
        <f>IF($D$3="","",IFERROR(VLOOKUP($G$3&amp;$B66,DataTable[],COLUMNS($B$4:E64),0),""))</f>
        <v/>
      </c>
      <c r="F66" s="4" t="str">
        <f>IF($D$3="","",IFERROR(VLOOKUP($G$3&amp;$B66,DataTable[],COLUMNS($B$4:F64),0),""))</f>
        <v/>
      </c>
      <c r="G66" s="4" t="str">
        <f>IF($D$3="","",IFERROR(VLOOKUP($G$3&amp;$B66,DataTable[],COLUMNS($B$4:G64),0),""))</f>
        <v/>
      </c>
      <c r="H66" s="7" t="str">
        <f>IF($D$3="","",IFERROR(VLOOKUP($G$3&amp;$B66,DataTable[],COLUMNS($B$4:H64),0),""))</f>
        <v/>
      </c>
      <c r="I66" s="7" t="str">
        <f>IF($D$3="","",IFERROR(VLOOKUP($G$3&amp;$B66,DataTable[],COLUMNS($B$4:I64),0),""))</f>
        <v/>
      </c>
    </row>
    <row r="67" spans="2:9">
      <c r="B67" s="6" t="str">
        <f t="shared" si="0"/>
        <v/>
      </c>
      <c r="C67" s="4" t="str">
        <f>IF($D$3="","",IFERROR(VLOOKUP($G$3&amp;$B67,DataTable[],COLUMNS($B$4:C65),0),""))</f>
        <v/>
      </c>
      <c r="D67" s="4" t="str">
        <f>IF($D$3="","",IFERROR(VLOOKUP($G$3&amp;$B67,DataTable[],COLUMNS($B$4:D65),0),""))</f>
        <v/>
      </c>
      <c r="E67" s="4" t="str">
        <f>IF($D$3="","",IFERROR(VLOOKUP($G$3&amp;$B67,DataTable[],COLUMNS($B$4:E65),0),""))</f>
        <v/>
      </c>
      <c r="F67" s="4" t="str">
        <f>IF($D$3="","",IFERROR(VLOOKUP($G$3&amp;$B67,DataTable[],COLUMNS($B$4:F65),0),""))</f>
        <v/>
      </c>
      <c r="G67" s="4" t="str">
        <f>IF($D$3="","",IFERROR(VLOOKUP($G$3&amp;$B67,DataTable[],COLUMNS($B$4:G65),0),""))</f>
        <v/>
      </c>
      <c r="H67" s="7" t="str">
        <f>IF($D$3="","",IFERROR(VLOOKUP($G$3&amp;$B67,DataTable[],COLUMNS($B$4:H65),0),""))</f>
        <v/>
      </c>
      <c r="I67" s="7" t="str">
        <f>IF($D$3="","",IFERROR(VLOOKUP($G$3&amp;$B67,DataTable[],COLUMNS($B$4:I65),0),""))</f>
        <v/>
      </c>
    </row>
    <row r="68" spans="2:9">
      <c r="B68" s="6" t="str">
        <f t="shared" si="0"/>
        <v/>
      </c>
      <c r="C68" s="4" t="str">
        <f>IF($D$3="","",IFERROR(VLOOKUP($G$3&amp;$B68,DataTable[],COLUMNS($B$4:C66),0),""))</f>
        <v/>
      </c>
      <c r="D68" s="4" t="str">
        <f>IF($D$3="","",IFERROR(VLOOKUP($G$3&amp;$B68,DataTable[],COLUMNS($B$4:D66),0),""))</f>
        <v/>
      </c>
      <c r="E68" s="4" t="str">
        <f>IF($D$3="","",IFERROR(VLOOKUP($G$3&amp;$B68,DataTable[],COLUMNS($B$4:E66),0),""))</f>
        <v/>
      </c>
      <c r="F68" s="4" t="str">
        <f>IF($D$3="","",IFERROR(VLOOKUP($G$3&amp;$B68,DataTable[],COLUMNS($B$4:F66),0),""))</f>
        <v/>
      </c>
      <c r="G68" s="4" t="str">
        <f>IF($D$3="","",IFERROR(VLOOKUP($G$3&amp;$B68,DataTable[],COLUMNS($B$4:G66),0),""))</f>
        <v/>
      </c>
      <c r="H68" s="7" t="str">
        <f>IF($D$3="","",IFERROR(VLOOKUP($G$3&amp;$B68,DataTable[],COLUMNS($B$4:H66),0),""))</f>
        <v/>
      </c>
      <c r="I68" s="7" t="str">
        <f>IF($D$3="","",IFERROR(VLOOKUP($G$3&amp;$B68,DataTable[],COLUMNS($B$4:I66),0),""))</f>
        <v/>
      </c>
    </row>
    <row r="69" spans="2:9">
      <c r="B69" s="6" t="str">
        <f t="shared" si="0"/>
        <v/>
      </c>
      <c r="C69" s="4" t="str">
        <f>IF($D$3="","",IFERROR(VLOOKUP($G$3&amp;$B69,DataTable[],COLUMNS($B$4:C67),0),""))</f>
        <v/>
      </c>
      <c r="D69" s="4" t="str">
        <f>IF($D$3="","",IFERROR(VLOOKUP($G$3&amp;$B69,DataTable[],COLUMNS($B$4:D67),0),""))</f>
        <v/>
      </c>
      <c r="E69" s="4" t="str">
        <f>IF($D$3="","",IFERROR(VLOOKUP($G$3&amp;$B69,DataTable[],COLUMNS($B$4:E67),0),""))</f>
        <v/>
      </c>
      <c r="F69" s="4" t="str">
        <f>IF($D$3="","",IFERROR(VLOOKUP($G$3&amp;$B69,DataTable[],COLUMNS($B$4:F67),0),""))</f>
        <v/>
      </c>
      <c r="G69" s="4" t="str">
        <f>IF($D$3="","",IFERROR(VLOOKUP($G$3&amp;$B69,DataTable[],COLUMNS($B$4:G67),0),""))</f>
        <v/>
      </c>
      <c r="H69" s="7" t="str">
        <f>IF($D$3="","",IFERROR(VLOOKUP($G$3&amp;$B69,DataTable[],COLUMNS($B$4:H67),0),""))</f>
        <v/>
      </c>
      <c r="I69" s="7" t="str">
        <f>IF($D$3="","",IFERROR(VLOOKUP($G$3&amp;$B69,DataTable[],COLUMNS($B$4:I67),0),""))</f>
        <v/>
      </c>
    </row>
    <row r="70" spans="2:9">
      <c r="B70" s="6" t="str">
        <f t="shared" si="0"/>
        <v/>
      </c>
      <c r="C70" s="4" t="str">
        <f>IF($D$3="","",IFERROR(VLOOKUP($G$3&amp;$B70,DataTable[],COLUMNS($B$4:C68),0),""))</f>
        <v/>
      </c>
      <c r="D70" s="4" t="str">
        <f>IF($D$3="","",IFERROR(VLOOKUP($G$3&amp;$B70,DataTable[],COLUMNS($B$4:D68),0),""))</f>
        <v/>
      </c>
      <c r="E70" s="4" t="str">
        <f>IF($D$3="","",IFERROR(VLOOKUP($G$3&amp;$B70,DataTable[],COLUMNS($B$4:E68),0),""))</f>
        <v/>
      </c>
      <c r="F70" s="4" t="str">
        <f>IF($D$3="","",IFERROR(VLOOKUP($G$3&amp;$B70,DataTable[],COLUMNS($B$4:F68),0),""))</f>
        <v/>
      </c>
      <c r="G70" s="4" t="str">
        <f>IF($D$3="","",IFERROR(VLOOKUP($G$3&amp;$B70,DataTable[],COLUMNS($B$4:G68),0),""))</f>
        <v/>
      </c>
      <c r="H70" s="7" t="str">
        <f>IF($D$3="","",IFERROR(VLOOKUP($G$3&amp;$B70,DataTable[],COLUMNS($B$4:H68),0),""))</f>
        <v/>
      </c>
      <c r="I70" s="7" t="str">
        <f>IF($D$3="","",IFERROR(VLOOKUP($G$3&amp;$B70,DataTable[],COLUMNS($B$4:I68),0),""))</f>
        <v/>
      </c>
    </row>
    <row r="71" spans="2:9">
      <c r="B71" s="6" t="str">
        <f t="shared" ref="B71:B134" si="1">IF($D$3="","",IF($A$1&gt;=ROW()-ROW($B$5),ROW()-ROW($B$5),""))</f>
        <v/>
      </c>
      <c r="C71" s="4" t="str">
        <f>IF($D$3="","",IFERROR(VLOOKUP($G$3&amp;$B71,DataTable[],COLUMNS($B$4:C69),0),""))</f>
        <v/>
      </c>
      <c r="D71" s="4" t="str">
        <f>IF($D$3="","",IFERROR(VLOOKUP($G$3&amp;$B71,DataTable[],COLUMNS($B$4:D69),0),""))</f>
        <v/>
      </c>
      <c r="E71" s="4" t="str">
        <f>IF($D$3="","",IFERROR(VLOOKUP($G$3&amp;$B71,DataTable[],COLUMNS($B$4:E69),0),""))</f>
        <v/>
      </c>
      <c r="F71" s="4" t="str">
        <f>IF($D$3="","",IFERROR(VLOOKUP($G$3&amp;$B71,DataTable[],COLUMNS($B$4:F69),0),""))</f>
        <v/>
      </c>
      <c r="G71" s="4" t="str">
        <f>IF($D$3="","",IFERROR(VLOOKUP($G$3&amp;$B71,DataTable[],COLUMNS($B$4:G69),0),""))</f>
        <v/>
      </c>
      <c r="H71" s="7" t="str">
        <f>IF($D$3="","",IFERROR(VLOOKUP($G$3&amp;$B71,DataTable[],COLUMNS($B$4:H69),0),""))</f>
        <v/>
      </c>
      <c r="I71" s="7" t="str">
        <f>IF($D$3="","",IFERROR(VLOOKUP($G$3&amp;$B71,DataTable[],COLUMNS($B$4:I69),0),""))</f>
        <v/>
      </c>
    </row>
    <row r="72" spans="2:9">
      <c r="B72" s="6" t="str">
        <f t="shared" si="1"/>
        <v/>
      </c>
      <c r="C72" s="4" t="str">
        <f>IF($D$3="","",IFERROR(VLOOKUP($G$3&amp;$B72,DataTable[],COLUMNS($B$4:C70),0),""))</f>
        <v/>
      </c>
      <c r="D72" s="4" t="str">
        <f>IF($D$3="","",IFERROR(VLOOKUP($G$3&amp;$B72,DataTable[],COLUMNS($B$4:D70),0),""))</f>
        <v/>
      </c>
      <c r="E72" s="4" t="str">
        <f>IF($D$3="","",IFERROR(VLOOKUP($G$3&amp;$B72,DataTable[],COLUMNS($B$4:E70),0),""))</f>
        <v/>
      </c>
      <c r="F72" s="4" t="str">
        <f>IF($D$3="","",IFERROR(VLOOKUP($G$3&amp;$B72,DataTable[],COLUMNS($B$4:F70),0),""))</f>
        <v/>
      </c>
      <c r="G72" s="4" t="str">
        <f>IF($D$3="","",IFERROR(VLOOKUP($G$3&amp;$B72,DataTable[],COLUMNS($B$4:G70),0),""))</f>
        <v/>
      </c>
      <c r="H72" s="7" t="str">
        <f>IF($D$3="","",IFERROR(VLOOKUP($G$3&amp;$B72,DataTable[],COLUMNS($B$4:H70),0),""))</f>
        <v/>
      </c>
      <c r="I72" s="7" t="str">
        <f>IF($D$3="","",IFERROR(VLOOKUP($G$3&amp;$B72,DataTable[],COLUMNS($B$4:I70),0),""))</f>
        <v/>
      </c>
    </row>
    <row r="73" spans="2:9">
      <c r="B73" s="6" t="str">
        <f t="shared" si="1"/>
        <v/>
      </c>
      <c r="C73" s="4" t="str">
        <f>IF($D$3="","",IFERROR(VLOOKUP($G$3&amp;$B73,DataTable[],COLUMNS($B$4:C71),0),""))</f>
        <v/>
      </c>
      <c r="D73" s="4" t="str">
        <f>IF($D$3="","",IFERROR(VLOOKUP($G$3&amp;$B73,DataTable[],COLUMNS($B$4:D71),0),""))</f>
        <v/>
      </c>
      <c r="E73" s="4" t="str">
        <f>IF($D$3="","",IFERROR(VLOOKUP($G$3&amp;$B73,DataTable[],COLUMNS($B$4:E71),0),""))</f>
        <v/>
      </c>
      <c r="F73" s="4" t="str">
        <f>IF($D$3="","",IFERROR(VLOOKUP($G$3&amp;$B73,DataTable[],COLUMNS($B$4:F71),0),""))</f>
        <v/>
      </c>
      <c r="G73" s="4" t="str">
        <f>IF($D$3="","",IFERROR(VLOOKUP($G$3&amp;$B73,DataTable[],COLUMNS($B$4:G71),0),""))</f>
        <v/>
      </c>
      <c r="H73" s="7" t="str">
        <f>IF($D$3="","",IFERROR(VLOOKUP($G$3&amp;$B73,DataTable[],COLUMNS($B$4:H71),0),""))</f>
        <v/>
      </c>
      <c r="I73" s="7" t="str">
        <f>IF($D$3="","",IFERROR(VLOOKUP($G$3&amp;$B73,DataTable[],COLUMNS($B$4:I71),0),""))</f>
        <v/>
      </c>
    </row>
    <row r="74" spans="2:9">
      <c r="B74" s="6" t="str">
        <f t="shared" si="1"/>
        <v/>
      </c>
      <c r="C74" s="4" t="str">
        <f>IF($D$3="","",IFERROR(VLOOKUP($G$3&amp;$B74,DataTable[],COLUMNS($B$4:C72),0),""))</f>
        <v/>
      </c>
      <c r="D74" s="4" t="str">
        <f>IF($D$3="","",IFERROR(VLOOKUP($G$3&amp;$B74,DataTable[],COLUMNS($B$4:D72),0),""))</f>
        <v/>
      </c>
      <c r="E74" s="4" t="str">
        <f>IF($D$3="","",IFERROR(VLOOKUP($G$3&amp;$B74,DataTable[],COLUMNS($B$4:E72),0),""))</f>
        <v/>
      </c>
      <c r="F74" s="4" t="str">
        <f>IF($D$3="","",IFERROR(VLOOKUP($G$3&amp;$B74,DataTable[],COLUMNS($B$4:F72),0),""))</f>
        <v/>
      </c>
      <c r="G74" s="4" t="str">
        <f>IF($D$3="","",IFERROR(VLOOKUP($G$3&amp;$B74,DataTable[],COLUMNS($B$4:G72),0),""))</f>
        <v/>
      </c>
      <c r="H74" s="7" t="str">
        <f>IF($D$3="","",IFERROR(VLOOKUP($G$3&amp;$B74,DataTable[],COLUMNS($B$4:H72),0),""))</f>
        <v/>
      </c>
      <c r="I74" s="7" t="str">
        <f>IF($D$3="","",IFERROR(VLOOKUP($G$3&amp;$B74,DataTable[],COLUMNS($B$4:I72),0),""))</f>
        <v/>
      </c>
    </row>
    <row r="75" spans="2:9">
      <c r="B75" s="6" t="str">
        <f t="shared" si="1"/>
        <v/>
      </c>
      <c r="C75" s="4" t="str">
        <f>IF($D$3="","",IFERROR(VLOOKUP($G$3&amp;$B75,DataTable[],COLUMNS($B$4:C73),0),""))</f>
        <v/>
      </c>
      <c r="D75" s="4" t="str">
        <f>IF($D$3="","",IFERROR(VLOOKUP($G$3&amp;$B75,DataTable[],COLUMNS($B$4:D73),0),""))</f>
        <v/>
      </c>
      <c r="E75" s="4" t="str">
        <f>IF($D$3="","",IFERROR(VLOOKUP($G$3&amp;$B75,DataTable[],COLUMNS($B$4:E73),0),""))</f>
        <v/>
      </c>
      <c r="F75" s="4" t="str">
        <f>IF($D$3="","",IFERROR(VLOOKUP($G$3&amp;$B75,DataTable[],COLUMNS($B$4:F73),0),""))</f>
        <v/>
      </c>
      <c r="G75" s="4" t="str">
        <f>IF($D$3="","",IFERROR(VLOOKUP($G$3&amp;$B75,DataTable[],COLUMNS($B$4:G73),0),""))</f>
        <v/>
      </c>
      <c r="H75" s="7" t="str">
        <f>IF($D$3="","",IFERROR(VLOOKUP($G$3&amp;$B75,DataTable[],COLUMNS($B$4:H73),0),""))</f>
        <v/>
      </c>
      <c r="I75" s="7" t="str">
        <f>IF($D$3="","",IFERROR(VLOOKUP($G$3&amp;$B75,DataTable[],COLUMNS($B$4:I73),0),""))</f>
        <v/>
      </c>
    </row>
    <row r="76" spans="2:9">
      <c r="B76" s="6" t="str">
        <f t="shared" si="1"/>
        <v/>
      </c>
      <c r="C76" s="4" t="str">
        <f>IF($D$3="","",IFERROR(VLOOKUP($G$3&amp;$B76,DataTable[],COLUMNS($B$4:C74),0),""))</f>
        <v/>
      </c>
      <c r="D76" s="4" t="str">
        <f>IF($D$3="","",IFERROR(VLOOKUP($G$3&amp;$B76,DataTable[],COLUMNS($B$4:D74),0),""))</f>
        <v/>
      </c>
      <c r="E76" s="4" t="str">
        <f>IF($D$3="","",IFERROR(VLOOKUP($G$3&amp;$B76,DataTable[],COLUMNS($B$4:E74),0),""))</f>
        <v/>
      </c>
      <c r="F76" s="4" t="str">
        <f>IF($D$3="","",IFERROR(VLOOKUP($G$3&amp;$B76,DataTable[],COLUMNS($B$4:F74),0),""))</f>
        <v/>
      </c>
      <c r="G76" s="4" t="str">
        <f>IF($D$3="","",IFERROR(VLOOKUP($G$3&amp;$B76,DataTable[],COLUMNS($B$4:G74),0),""))</f>
        <v/>
      </c>
      <c r="H76" s="7" t="str">
        <f>IF($D$3="","",IFERROR(VLOOKUP($G$3&amp;$B76,DataTable[],COLUMNS($B$4:H74),0),""))</f>
        <v/>
      </c>
      <c r="I76" s="7" t="str">
        <f>IF($D$3="","",IFERROR(VLOOKUP($G$3&amp;$B76,DataTable[],COLUMNS($B$4:I74),0),""))</f>
        <v/>
      </c>
    </row>
    <row r="77" spans="2:9">
      <c r="B77" s="6" t="str">
        <f t="shared" si="1"/>
        <v/>
      </c>
      <c r="C77" s="4" t="str">
        <f>IF($D$3="","",IFERROR(VLOOKUP($G$3&amp;$B77,DataTable[],COLUMNS($B$4:C75),0),""))</f>
        <v/>
      </c>
      <c r="D77" s="4" t="str">
        <f>IF($D$3="","",IFERROR(VLOOKUP($G$3&amp;$B77,DataTable[],COLUMNS($B$4:D75),0),""))</f>
        <v/>
      </c>
      <c r="E77" s="4" t="str">
        <f>IF($D$3="","",IFERROR(VLOOKUP($G$3&amp;$B77,DataTable[],COLUMNS($B$4:E75),0),""))</f>
        <v/>
      </c>
      <c r="F77" s="4" t="str">
        <f>IF($D$3="","",IFERROR(VLOOKUP($G$3&amp;$B77,DataTable[],COLUMNS($B$4:F75),0),""))</f>
        <v/>
      </c>
      <c r="G77" s="4" t="str">
        <f>IF($D$3="","",IFERROR(VLOOKUP($G$3&amp;$B77,DataTable[],COLUMNS($B$4:G75),0),""))</f>
        <v/>
      </c>
      <c r="H77" s="7" t="str">
        <f>IF($D$3="","",IFERROR(VLOOKUP($G$3&amp;$B77,DataTable[],COLUMNS($B$4:H75),0),""))</f>
        <v/>
      </c>
      <c r="I77" s="7" t="str">
        <f>IF($D$3="","",IFERROR(VLOOKUP($G$3&amp;$B77,DataTable[],COLUMNS($B$4:I75),0),""))</f>
        <v/>
      </c>
    </row>
    <row r="78" spans="2:9">
      <c r="B78" s="6" t="str">
        <f t="shared" si="1"/>
        <v/>
      </c>
      <c r="C78" s="4" t="str">
        <f>IF($D$3="","",IFERROR(VLOOKUP($G$3&amp;$B78,DataTable[],COLUMNS($B$4:C76),0),""))</f>
        <v/>
      </c>
      <c r="D78" s="4" t="str">
        <f>IF($D$3="","",IFERROR(VLOOKUP($G$3&amp;$B78,DataTable[],COLUMNS($B$4:D76),0),""))</f>
        <v/>
      </c>
      <c r="E78" s="4" t="str">
        <f>IF($D$3="","",IFERROR(VLOOKUP($G$3&amp;$B78,DataTable[],COLUMNS($B$4:E76),0),""))</f>
        <v/>
      </c>
      <c r="F78" s="4" t="str">
        <f>IF($D$3="","",IFERROR(VLOOKUP($G$3&amp;$B78,DataTable[],COLUMNS($B$4:F76),0),""))</f>
        <v/>
      </c>
      <c r="G78" s="4" t="str">
        <f>IF($D$3="","",IFERROR(VLOOKUP($G$3&amp;$B78,DataTable[],COLUMNS($B$4:G76),0),""))</f>
        <v/>
      </c>
      <c r="H78" s="7" t="str">
        <f>IF($D$3="","",IFERROR(VLOOKUP($G$3&amp;$B78,DataTable[],COLUMNS($B$4:H76),0),""))</f>
        <v/>
      </c>
      <c r="I78" s="7" t="str">
        <f>IF($D$3="","",IFERROR(VLOOKUP($G$3&amp;$B78,DataTable[],COLUMNS($B$4:I76),0),""))</f>
        <v/>
      </c>
    </row>
    <row r="79" spans="2:9">
      <c r="B79" s="6" t="str">
        <f t="shared" si="1"/>
        <v/>
      </c>
      <c r="C79" s="4" t="str">
        <f>IF($D$3="","",IFERROR(VLOOKUP($G$3&amp;$B79,DataTable[],COLUMNS($B$4:C77),0),""))</f>
        <v/>
      </c>
      <c r="D79" s="4" t="str">
        <f>IF($D$3="","",IFERROR(VLOOKUP($G$3&amp;$B79,DataTable[],COLUMNS($B$4:D77),0),""))</f>
        <v/>
      </c>
      <c r="E79" s="4" t="str">
        <f>IF($D$3="","",IFERROR(VLOOKUP($G$3&amp;$B79,DataTable[],COLUMNS($B$4:E77),0),""))</f>
        <v/>
      </c>
      <c r="F79" s="4" t="str">
        <f>IF($D$3="","",IFERROR(VLOOKUP($G$3&amp;$B79,DataTable[],COLUMNS($B$4:F77),0),""))</f>
        <v/>
      </c>
      <c r="G79" s="4" t="str">
        <f>IF($D$3="","",IFERROR(VLOOKUP($G$3&amp;$B79,DataTable[],COLUMNS($B$4:G77),0),""))</f>
        <v/>
      </c>
      <c r="H79" s="7" t="str">
        <f>IF($D$3="","",IFERROR(VLOOKUP($G$3&amp;$B79,DataTable[],COLUMNS($B$4:H77),0),""))</f>
        <v/>
      </c>
      <c r="I79" s="7" t="str">
        <f>IF($D$3="","",IFERROR(VLOOKUP($G$3&amp;$B79,DataTable[],COLUMNS($B$4:I77),0),""))</f>
        <v/>
      </c>
    </row>
    <row r="80" spans="2:9">
      <c r="B80" s="6" t="str">
        <f t="shared" si="1"/>
        <v/>
      </c>
      <c r="C80" s="4" t="str">
        <f>IF($D$3="","",IFERROR(VLOOKUP($G$3&amp;$B80,DataTable[],COLUMNS($B$4:C78),0),""))</f>
        <v/>
      </c>
      <c r="D80" s="4" t="str">
        <f>IF($D$3="","",IFERROR(VLOOKUP($G$3&amp;$B80,DataTable[],COLUMNS($B$4:D78),0),""))</f>
        <v/>
      </c>
      <c r="E80" s="4" t="str">
        <f>IF($D$3="","",IFERROR(VLOOKUP($G$3&amp;$B80,DataTable[],COLUMNS($B$4:E78),0),""))</f>
        <v/>
      </c>
      <c r="F80" s="4" t="str">
        <f>IF($D$3="","",IFERROR(VLOOKUP($G$3&amp;$B80,DataTable[],COLUMNS($B$4:F78),0),""))</f>
        <v/>
      </c>
      <c r="G80" s="4" t="str">
        <f>IF($D$3="","",IFERROR(VLOOKUP($G$3&amp;$B80,DataTable[],COLUMNS($B$4:G78),0),""))</f>
        <v/>
      </c>
      <c r="H80" s="7" t="str">
        <f>IF($D$3="","",IFERROR(VLOOKUP($G$3&amp;$B80,DataTable[],COLUMNS($B$4:H78),0),""))</f>
        <v/>
      </c>
      <c r="I80" s="7" t="str">
        <f>IF($D$3="","",IFERROR(VLOOKUP($G$3&amp;$B80,DataTable[],COLUMNS($B$4:I78),0),""))</f>
        <v/>
      </c>
    </row>
    <row r="81" spans="2:9">
      <c r="B81" s="6" t="str">
        <f t="shared" si="1"/>
        <v/>
      </c>
      <c r="C81" s="4" t="str">
        <f>IF($D$3="","",IFERROR(VLOOKUP($G$3&amp;$B81,DataTable[],COLUMNS($B$4:C79),0),""))</f>
        <v/>
      </c>
      <c r="D81" s="4" t="str">
        <f>IF($D$3="","",IFERROR(VLOOKUP($G$3&amp;$B81,DataTable[],COLUMNS($B$4:D79),0),""))</f>
        <v/>
      </c>
      <c r="E81" s="4" t="str">
        <f>IF($D$3="","",IFERROR(VLOOKUP($G$3&amp;$B81,DataTable[],COLUMNS($B$4:E79),0),""))</f>
        <v/>
      </c>
      <c r="F81" s="4" t="str">
        <f>IF($D$3="","",IFERROR(VLOOKUP($G$3&amp;$B81,DataTable[],COLUMNS($B$4:F79),0),""))</f>
        <v/>
      </c>
      <c r="G81" s="4" t="str">
        <f>IF($D$3="","",IFERROR(VLOOKUP($G$3&amp;$B81,DataTable[],COLUMNS($B$4:G79),0),""))</f>
        <v/>
      </c>
      <c r="H81" s="7" t="str">
        <f>IF($D$3="","",IFERROR(VLOOKUP($G$3&amp;$B81,DataTable[],COLUMNS($B$4:H79),0),""))</f>
        <v/>
      </c>
      <c r="I81" s="7" t="str">
        <f>IF($D$3="","",IFERROR(VLOOKUP($G$3&amp;$B81,DataTable[],COLUMNS($B$4:I79),0),""))</f>
        <v/>
      </c>
    </row>
    <row r="82" spans="2:9">
      <c r="B82" s="6" t="str">
        <f t="shared" si="1"/>
        <v/>
      </c>
      <c r="C82" s="4" t="str">
        <f>IF($D$3="","",IFERROR(VLOOKUP($G$3&amp;$B82,DataTable[],COLUMNS($B$4:C80),0),""))</f>
        <v/>
      </c>
      <c r="D82" s="4" t="str">
        <f>IF($D$3="","",IFERROR(VLOOKUP($G$3&amp;$B82,DataTable[],COLUMNS($B$4:D80),0),""))</f>
        <v/>
      </c>
      <c r="E82" s="4" t="str">
        <f>IF($D$3="","",IFERROR(VLOOKUP($G$3&amp;$B82,DataTable[],COLUMNS($B$4:E80),0),""))</f>
        <v/>
      </c>
      <c r="F82" s="4" t="str">
        <f>IF($D$3="","",IFERROR(VLOOKUP($G$3&amp;$B82,DataTable[],COLUMNS($B$4:F80),0),""))</f>
        <v/>
      </c>
      <c r="G82" s="4" t="str">
        <f>IF($D$3="","",IFERROR(VLOOKUP($G$3&amp;$B82,DataTable[],COLUMNS($B$4:G80),0),""))</f>
        <v/>
      </c>
      <c r="H82" s="7" t="str">
        <f>IF($D$3="","",IFERROR(VLOOKUP($G$3&amp;$B82,DataTable[],COLUMNS($B$4:H80),0),""))</f>
        <v/>
      </c>
      <c r="I82" s="7" t="str">
        <f>IF($D$3="","",IFERROR(VLOOKUP($G$3&amp;$B82,DataTable[],COLUMNS($B$4:I80),0),""))</f>
        <v/>
      </c>
    </row>
    <row r="83" spans="2:9">
      <c r="B83" s="6" t="str">
        <f t="shared" si="1"/>
        <v/>
      </c>
      <c r="C83" s="4" t="str">
        <f>IF($D$3="","",IFERROR(VLOOKUP($G$3&amp;$B83,DataTable[],COLUMNS($B$4:C81),0),""))</f>
        <v/>
      </c>
      <c r="D83" s="4" t="str">
        <f>IF($D$3="","",IFERROR(VLOOKUP($G$3&amp;$B83,DataTable[],COLUMNS($B$4:D81),0),""))</f>
        <v/>
      </c>
      <c r="E83" s="4" t="str">
        <f>IF($D$3="","",IFERROR(VLOOKUP($G$3&amp;$B83,DataTable[],COLUMNS($B$4:E81),0),""))</f>
        <v/>
      </c>
      <c r="F83" s="4" t="str">
        <f>IF($D$3="","",IFERROR(VLOOKUP($G$3&amp;$B83,DataTable[],COLUMNS($B$4:F81),0),""))</f>
        <v/>
      </c>
      <c r="G83" s="4" t="str">
        <f>IF($D$3="","",IFERROR(VLOOKUP($G$3&amp;$B83,DataTable[],COLUMNS($B$4:G81),0),""))</f>
        <v/>
      </c>
      <c r="H83" s="7" t="str">
        <f>IF($D$3="","",IFERROR(VLOOKUP($G$3&amp;$B83,DataTable[],COLUMNS($B$4:H81),0),""))</f>
        <v/>
      </c>
      <c r="I83" s="7" t="str">
        <f>IF($D$3="","",IFERROR(VLOOKUP($G$3&amp;$B83,DataTable[],COLUMNS($B$4:I81),0),""))</f>
        <v/>
      </c>
    </row>
    <row r="84" spans="2:9">
      <c r="B84" s="6" t="str">
        <f t="shared" si="1"/>
        <v/>
      </c>
      <c r="C84" s="4" t="str">
        <f>IF($D$3="","",IFERROR(VLOOKUP($G$3&amp;$B84,DataTable[],COLUMNS($B$4:C82),0),""))</f>
        <v/>
      </c>
      <c r="D84" s="4" t="str">
        <f>IF($D$3="","",IFERROR(VLOOKUP($G$3&amp;$B84,DataTable[],COLUMNS($B$4:D82),0),""))</f>
        <v/>
      </c>
      <c r="E84" s="4" t="str">
        <f>IF($D$3="","",IFERROR(VLOOKUP($G$3&amp;$B84,DataTable[],COLUMNS($B$4:E82),0),""))</f>
        <v/>
      </c>
      <c r="F84" s="4" t="str">
        <f>IF($D$3="","",IFERROR(VLOOKUP($G$3&amp;$B84,DataTable[],COLUMNS($B$4:F82),0),""))</f>
        <v/>
      </c>
      <c r="G84" s="4" t="str">
        <f>IF($D$3="","",IFERROR(VLOOKUP($G$3&amp;$B84,DataTable[],COLUMNS($B$4:G82),0),""))</f>
        <v/>
      </c>
      <c r="H84" s="7" t="str">
        <f>IF($D$3="","",IFERROR(VLOOKUP($G$3&amp;$B84,DataTable[],COLUMNS($B$4:H82),0),""))</f>
        <v/>
      </c>
      <c r="I84" s="7" t="str">
        <f>IF($D$3="","",IFERROR(VLOOKUP($G$3&amp;$B84,DataTable[],COLUMNS($B$4:I82),0),""))</f>
        <v/>
      </c>
    </row>
    <row r="85" spans="2:9">
      <c r="B85" s="6" t="str">
        <f t="shared" si="1"/>
        <v/>
      </c>
      <c r="C85" s="4" t="str">
        <f>IF($D$3="","",IFERROR(VLOOKUP($G$3&amp;$B85,DataTable[],COLUMNS($B$4:C83),0),""))</f>
        <v/>
      </c>
      <c r="D85" s="4" t="str">
        <f>IF($D$3="","",IFERROR(VLOOKUP($G$3&amp;$B85,DataTable[],COLUMNS($B$4:D83),0),""))</f>
        <v/>
      </c>
      <c r="E85" s="4" t="str">
        <f>IF($D$3="","",IFERROR(VLOOKUP($G$3&amp;$B85,DataTable[],COLUMNS($B$4:E83),0),""))</f>
        <v/>
      </c>
      <c r="F85" s="4" t="str">
        <f>IF($D$3="","",IFERROR(VLOOKUP($G$3&amp;$B85,DataTable[],COLUMNS($B$4:F83),0),""))</f>
        <v/>
      </c>
      <c r="G85" s="4" t="str">
        <f>IF($D$3="","",IFERROR(VLOOKUP($G$3&amp;$B85,DataTable[],COLUMNS($B$4:G83),0),""))</f>
        <v/>
      </c>
      <c r="H85" s="7" t="str">
        <f>IF($D$3="","",IFERROR(VLOOKUP($G$3&amp;$B85,DataTable[],COLUMNS($B$4:H83),0),""))</f>
        <v/>
      </c>
      <c r="I85" s="7" t="str">
        <f>IF($D$3="","",IFERROR(VLOOKUP($G$3&amp;$B85,DataTable[],COLUMNS($B$4:I83),0),""))</f>
        <v/>
      </c>
    </row>
    <row r="86" spans="2:9">
      <c r="B86" s="6" t="str">
        <f t="shared" si="1"/>
        <v/>
      </c>
      <c r="C86" s="4" t="str">
        <f>IF($D$3="","",IFERROR(VLOOKUP($G$3&amp;$B86,DataTable[],COLUMNS($B$4:C84),0),""))</f>
        <v/>
      </c>
      <c r="D86" s="4" t="str">
        <f>IF($D$3="","",IFERROR(VLOOKUP($G$3&amp;$B86,DataTable[],COLUMNS($B$4:D84),0),""))</f>
        <v/>
      </c>
      <c r="E86" s="4" t="str">
        <f>IF($D$3="","",IFERROR(VLOOKUP($G$3&amp;$B86,DataTable[],COLUMNS($B$4:E84),0),""))</f>
        <v/>
      </c>
      <c r="F86" s="4" t="str">
        <f>IF($D$3="","",IFERROR(VLOOKUP($G$3&amp;$B86,DataTable[],COLUMNS($B$4:F84),0),""))</f>
        <v/>
      </c>
      <c r="G86" s="4" t="str">
        <f>IF($D$3="","",IFERROR(VLOOKUP($G$3&amp;$B86,DataTable[],COLUMNS($B$4:G84),0),""))</f>
        <v/>
      </c>
      <c r="H86" s="7" t="str">
        <f>IF($D$3="","",IFERROR(VLOOKUP($G$3&amp;$B86,DataTable[],COLUMNS($B$4:H84),0),""))</f>
        <v/>
      </c>
      <c r="I86" s="7" t="str">
        <f>IF($D$3="","",IFERROR(VLOOKUP($G$3&amp;$B86,DataTable[],COLUMNS($B$4:I84),0),""))</f>
        <v/>
      </c>
    </row>
    <row r="87" spans="2:9">
      <c r="B87" s="6" t="str">
        <f t="shared" si="1"/>
        <v/>
      </c>
      <c r="C87" s="4" t="str">
        <f>IF($D$3="","",IFERROR(VLOOKUP($G$3&amp;$B87,DataTable[],COLUMNS($B$4:C85),0),""))</f>
        <v/>
      </c>
      <c r="D87" s="4" t="str">
        <f>IF($D$3="","",IFERROR(VLOOKUP($G$3&amp;$B87,DataTable[],COLUMNS($B$4:D85),0),""))</f>
        <v/>
      </c>
      <c r="E87" s="4" t="str">
        <f>IF($D$3="","",IFERROR(VLOOKUP($G$3&amp;$B87,DataTable[],COLUMNS($B$4:E85),0),""))</f>
        <v/>
      </c>
      <c r="F87" s="4" t="str">
        <f>IF($D$3="","",IFERROR(VLOOKUP($G$3&amp;$B87,DataTable[],COLUMNS($B$4:F85),0),""))</f>
        <v/>
      </c>
      <c r="G87" s="4" t="str">
        <f>IF($D$3="","",IFERROR(VLOOKUP($G$3&amp;$B87,DataTable[],COLUMNS($B$4:G85),0),""))</f>
        <v/>
      </c>
      <c r="H87" s="7" t="str">
        <f>IF($D$3="","",IFERROR(VLOOKUP($G$3&amp;$B87,DataTable[],COLUMNS($B$4:H85),0),""))</f>
        <v/>
      </c>
      <c r="I87" s="7" t="str">
        <f>IF($D$3="","",IFERROR(VLOOKUP($G$3&amp;$B87,DataTable[],COLUMNS($B$4:I85),0),""))</f>
        <v/>
      </c>
    </row>
    <row r="88" spans="2:9">
      <c r="B88" s="6" t="str">
        <f t="shared" si="1"/>
        <v/>
      </c>
      <c r="C88" s="4" t="str">
        <f>IF($D$3="","",IFERROR(VLOOKUP($G$3&amp;$B88,DataTable[],COLUMNS($B$4:C86),0),""))</f>
        <v/>
      </c>
      <c r="D88" s="4" t="str">
        <f>IF($D$3="","",IFERROR(VLOOKUP($G$3&amp;$B88,DataTable[],COLUMNS($B$4:D86),0),""))</f>
        <v/>
      </c>
      <c r="E88" s="4" t="str">
        <f>IF($D$3="","",IFERROR(VLOOKUP($G$3&amp;$B88,DataTable[],COLUMNS($B$4:E86),0),""))</f>
        <v/>
      </c>
      <c r="F88" s="4" t="str">
        <f>IF($D$3="","",IFERROR(VLOOKUP($G$3&amp;$B88,DataTable[],COLUMNS($B$4:F86),0),""))</f>
        <v/>
      </c>
      <c r="G88" s="4" t="str">
        <f>IF($D$3="","",IFERROR(VLOOKUP($G$3&amp;$B88,DataTable[],COLUMNS($B$4:G86),0),""))</f>
        <v/>
      </c>
      <c r="H88" s="7" t="str">
        <f>IF($D$3="","",IFERROR(VLOOKUP($G$3&amp;$B88,DataTable[],COLUMNS($B$4:H86),0),""))</f>
        <v/>
      </c>
      <c r="I88" s="7" t="str">
        <f>IF($D$3="","",IFERROR(VLOOKUP($G$3&amp;$B88,DataTable[],COLUMNS($B$4:I86),0),""))</f>
        <v/>
      </c>
    </row>
    <row r="89" spans="2:9">
      <c r="B89" s="6" t="str">
        <f t="shared" si="1"/>
        <v/>
      </c>
      <c r="C89" s="4" t="str">
        <f>IF($D$3="","",IFERROR(VLOOKUP($G$3&amp;$B89,DataTable[],COLUMNS($B$4:C87),0),""))</f>
        <v/>
      </c>
      <c r="D89" s="4" t="str">
        <f>IF($D$3="","",IFERROR(VLOOKUP($G$3&amp;$B89,DataTable[],COLUMNS($B$4:D87),0),""))</f>
        <v/>
      </c>
      <c r="E89" s="4" t="str">
        <f>IF($D$3="","",IFERROR(VLOOKUP($G$3&amp;$B89,DataTable[],COLUMNS($B$4:E87),0),""))</f>
        <v/>
      </c>
      <c r="F89" s="4" t="str">
        <f>IF($D$3="","",IFERROR(VLOOKUP($G$3&amp;$B89,DataTable[],COLUMNS($B$4:F87),0),""))</f>
        <v/>
      </c>
      <c r="G89" s="4" t="str">
        <f>IF($D$3="","",IFERROR(VLOOKUP($G$3&amp;$B89,DataTable[],COLUMNS($B$4:G87),0),""))</f>
        <v/>
      </c>
      <c r="H89" s="7" t="str">
        <f>IF($D$3="","",IFERROR(VLOOKUP($G$3&amp;$B89,DataTable[],COLUMNS($B$4:H87),0),""))</f>
        <v/>
      </c>
      <c r="I89" s="7" t="str">
        <f>IF($D$3="","",IFERROR(VLOOKUP($G$3&amp;$B89,DataTable[],COLUMNS($B$4:I87),0),""))</f>
        <v/>
      </c>
    </row>
    <row r="90" spans="2:9">
      <c r="B90" s="6" t="str">
        <f t="shared" si="1"/>
        <v/>
      </c>
      <c r="C90" s="4" t="str">
        <f>IF($D$3="","",IFERROR(VLOOKUP($G$3&amp;$B90,DataTable[],COLUMNS($B$4:C88),0),""))</f>
        <v/>
      </c>
      <c r="D90" s="4" t="str">
        <f>IF($D$3="","",IFERROR(VLOOKUP($G$3&amp;$B90,DataTable[],COLUMNS($B$4:D88),0),""))</f>
        <v/>
      </c>
      <c r="E90" s="4" t="str">
        <f>IF($D$3="","",IFERROR(VLOOKUP($G$3&amp;$B90,DataTable[],COLUMNS($B$4:E88),0),""))</f>
        <v/>
      </c>
      <c r="F90" s="4" t="str">
        <f>IF($D$3="","",IFERROR(VLOOKUP($G$3&amp;$B90,DataTable[],COLUMNS($B$4:F88),0),""))</f>
        <v/>
      </c>
      <c r="G90" s="4" t="str">
        <f>IF($D$3="","",IFERROR(VLOOKUP($G$3&amp;$B90,DataTable[],COLUMNS($B$4:G88),0),""))</f>
        <v/>
      </c>
      <c r="H90" s="7" t="str">
        <f>IF($D$3="","",IFERROR(VLOOKUP($G$3&amp;$B90,DataTable[],COLUMNS($B$4:H88),0),""))</f>
        <v/>
      </c>
      <c r="I90" s="7" t="str">
        <f>IF($D$3="","",IFERROR(VLOOKUP($G$3&amp;$B90,DataTable[],COLUMNS($B$4:I88),0),""))</f>
        <v/>
      </c>
    </row>
    <row r="91" spans="2:9">
      <c r="B91" s="6" t="str">
        <f t="shared" si="1"/>
        <v/>
      </c>
      <c r="C91" s="4" t="str">
        <f>IF($D$3="","",IFERROR(VLOOKUP($G$3&amp;$B91,DataTable[],COLUMNS($B$4:C89),0),""))</f>
        <v/>
      </c>
      <c r="D91" s="4" t="str">
        <f>IF($D$3="","",IFERROR(VLOOKUP($G$3&amp;$B91,DataTable[],COLUMNS($B$4:D89),0),""))</f>
        <v/>
      </c>
      <c r="E91" s="4" t="str">
        <f>IF($D$3="","",IFERROR(VLOOKUP($G$3&amp;$B91,DataTable[],COLUMNS($B$4:E89),0),""))</f>
        <v/>
      </c>
      <c r="F91" s="4" t="str">
        <f>IF($D$3="","",IFERROR(VLOOKUP($G$3&amp;$B91,DataTable[],COLUMNS($B$4:F89),0),""))</f>
        <v/>
      </c>
      <c r="G91" s="4" t="str">
        <f>IF($D$3="","",IFERROR(VLOOKUP($G$3&amp;$B91,DataTable[],COLUMNS($B$4:G89),0),""))</f>
        <v/>
      </c>
      <c r="H91" s="7" t="str">
        <f>IF($D$3="","",IFERROR(VLOOKUP($G$3&amp;$B91,DataTable[],COLUMNS($B$4:H89),0),""))</f>
        <v/>
      </c>
      <c r="I91" s="7" t="str">
        <f>IF($D$3="","",IFERROR(VLOOKUP($G$3&amp;$B91,DataTable[],COLUMNS($B$4:I89),0),""))</f>
        <v/>
      </c>
    </row>
    <row r="92" spans="2:9">
      <c r="B92" s="6" t="str">
        <f t="shared" si="1"/>
        <v/>
      </c>
      <c r="C92" s="4" t="str">
        <f>IF($D$3="","",IFERROR(VLOOKUP($G$3&amp;$B92,DataTable[],COLUMNS($B$4:C90),0),""))</f>
        <v/>
      </c>
      <c r="D92" s="4" t="str">
        <f>IF($D$3="","",IFERROR(VLOOKUP($G$3&amp;$B92,DataTable[],COLUMNS($B$4:D90),0),""))</f>
        <v/>
      </c>
      <c r="E92" s="4" t="str">
        <f>IF($D$3="","",IFERROR(VLOOKUP($G$3&amp;$B92,DataTable[],COLUMNS($B$4:E90),0),""))</f>
        <v/>
      </c>
      <c r="F92" s="4" t="str">
        <f>IF($D$3="","",IFERROR(VLOOKUP($G$3&amp;$B92,DataTable[],COLUMNS($B$4:F90),0),""))</f>
        <v/>
      </c>
      <c r="G92" s="4" t="str">
        <f>IF($D$3="","",IFERROR(VLOOKUP($G$3&amp;$B92,DataTable[],COLUMNS($B$4:G90),0),""))</f>
        <v/>
      </c>
      <c r="H92" s="7" t="str">
        <f>IF($D$3="","",IFERROR(VLOOKUP($G$3&amp;$B92,DataTable[],COLUMNS($B$4:H90),0),""))</f>
        <v/>
      </c>
      <c r="I92" s="7" t="str">
        <f>IF($D$3="","",IFERROR(VLOOKUP($G$3&amp;$B92,DataTable[],COLUMNS($B$4:I90),0),""))</f>
        <v/>
      </c>
    </row>
    <row r="93" spans="2:9">
      <c r="B93" s="6" t="str">
        <f t="shared" si="1"/>
        <v/>
      </c>
      <c r="C93" s="4" t="str">
        <f>IF($D$3="","",IFERROR(VLOOKUP($G$3&amp;$B93,DataTable[],COLUMNS($B$4:C91),0),""))</f>
        <v/>
      </c>
      <c r="D93" s="4" t="str">
        <f>IF($D$3="","",IFERROR(VLOOKUP($G$3&amp;$B93,DataTable[],COLUMNS($B$4:D91),0),""))</f>
        <v/>
      </c>
      <c r="E93" s="4" t="str">
        <f>IF($D$3="","",IFERROR(VLOOKUP($G$3&amp;$B93,DataTable[],COLUMNS($B$4:E91),0),""))</f>
        <v/>
      </c>
      <c r="F93" s="4" t="str">
        <f>IF($D$3="","",IFERROR(VLOOKUP($G$3&amp;$B93,DataTable[],COLUMNS($B$4:F91),0),""))</f>
        <v/>
      </c>
      <c r="G93" s="4" t="str">
        <f>IF($D$3="","",IFERROR(VLOOKUP($G$3&amp;$B93,DataTable[],COLUMNS($B$4:G91),0),""))</f>
        <v/>
      </c>
      <c r="H93" s="7" t="str">
        <f>IF($D$3="","",IFERROR(VLOOKUP($G$3&amp;$B93,DataTable[],COLUMNS($B$4:H91),0),""))</f>
        <v/>
      </c>
      <c r="I93" s="7" t="str">
        <f>IF($D$3="","",IFERROR(VLOOKUP($G$3&amp;$B93,DataTable[],COLUMNS($B$4:I91),0),""))</f>
        <v/>
      </c>
    </row>
    <row r="94" spans="2:9">
      <c r="B94" s="6" t="str">
        <f t="shared" si="1"/>
        <v/>
      </c>
      <c r="C94" s="4" t="str">
        <f>IF($D$3="","",IFERROR(VLOOKUP($G$3&amp;$B94,DataTable[],COLUMNS($B$4:C92),0),""))</f>
        <v/>
      </c>
      <c r="D94" s="4" t="str">
        <f>IF($D$3="","",IFERROR(VLOOKUP($G$3&amp;$B94,DataTable[],COLUMNS($B$4:D92),0),""))</f>
        <v/>
      </c>
      <c r="E94" s="4" t="str">
        <f>IF($D$3="","",IFERROR(VLOOKUP($G$3&amp;$B94,DataTable[],COLUMNS($B$4:E92),0),""))</f>
        <v/>
      </c>
      <c r="F94" s="4" t="str">
        <f>IF($D$3="","",IFERROR(VLOOKUP($G$3&amp;$B94,DataTable[],COLUMNS($B$4:F92),0),""))</f>
        <v/>
      </c>
      <c r="G94" s="4" t="str">
        <f>IF($D$3="","",IFERROR(VLOOKUP($G$3&amp;$B94,DataTable[],COLUMNS($B$4:G92),0),""))</f>
        <v/>
      </c>
      <c r="H94" s="7" t="str">
        <f>IF($D$3="","",IFERROR(VLOOKUP($G$3&amp;$B94,DataTable[],COLUMNS($B$4:H92),0),""))</f>
        <v/>
      </c>
      <c r="I94" s="7" t="str">
        <f>IF($D$3="","",IFERROR(VLOOKUP($G$3&amp;$B94,DataTable[],COLUMNS($B$4:I92),0),""))</f>
        <v/>
      </c>
    </row>
    <row r="95" spans="2:9">
      <c r="B95" s="6" t="str">
        <f t="shared" si="1"/>
        <v/>
      </c>
      <c r="C95" s="4" t="str">
        <f>IF($D$3="","",IFERROR(VLOOKUP($G$3&amp;$B95,DataTable[],COLUMNS($B$4:C93),0),""))</f>
        <v/>
      </c>
      <c r="D95" s="4" t="str">
        <f>IF($D$3="","",IFERROR(VLOOKUP($G$3&amp;$B95,DataTable[],COLUMNS($B$4:D93),0),""))</f>
        <v/>
      </c>
      <c r="E95" s="4" t="str">
        <f>IF($D$3="","",IFERROR(VLOOKUP($G$3&amp;$B95,DataTable[],COLUMNS($B$4:E93),0),""))</f>
        <v/>
      </c>
      <c r="F95" s="4" t="str">
        <f>IF($D$3="","",IFERROR(VLOOKUP($G$3&amp;$B95,DataTable[],COLUMNS($B$4:F93),0),""))</f>
        <v/>
      </c>
      <c r="G95" s="4" t="str">
        <f>IF($D$3="","",IFERROR(VLOOKUP($G$3&amp;$B95,DataTable[],COLUMNS($B$4:G93),0),""))</f>
        <v/>
      </c>
      <c r="H95" s="7" t="str">
        <f>IF($D$3="","",IFERROR(VLOOKUP($G$3&amp;$B95,DataTable[],COLUMNS($B$4:H93),0),""))</f>
        <v/>
      </c>
      <c r="I95" s="7" t="str">
        <f>IF($D$3="","",IFERROR(VLOOKUP($G$3&amp;$B95,DataTable[],COLUMNS($B$4:I93),0),""))</f>
        <v/>
      </c>
    </row>
    <row r="96" spans="2:9">
      <c r="B96" s="6" t="str">
        <f t="shared" si="1"/>
        <v/>
      </c>
      <c r="C96" s="4" t="str">
        <f>IF($D$3="","",IFERROR(VLOOKUP($G$3&amp;$B96,DataTable[],COLUMNS($B$4:C94),0),""))</f>
        <v/>
      </c>
      <c r="D96" s="4" t="str">
        <f>IF($D$3="","",IFERROR(VLOOKUP($G$3&amp;$B96,DataTable[],COLUMNS($B$4:D94),0),""))</f>
        <v/>
      </c>
      <c r="E96" s="4" t="str">
        <f>IF($D$3="","",IFERROR(VLOOKUP($G$3&amp;$B96,DataTable[],COLUMNS($B$4:E94),0),""))</f>
        <v/>
      </c>
      <c r="F96" s="4" t="str">
        <f>IF($D$3="","",IFERROR(VLOOKUP($G$3&amp;$B96,DataTable[],COLUMNS($B$4:F94),0),""))</f>
        <v/>
      </c>
      <c r="G96" s="4" t="str">
        <f>IF($D$3="","",IFERROR(VLOOKUP($G$3&amp;$B96,DataTable[],COLUMNS($B$4:G94),0),""))</f>
        <v/>
      </c>
      <c r="H96" s="7" t="str">
        <f>IF($D$3="","",IFERROR(VLOOKUP($G$3&amp;$B96,DataTable[],COLUMNS($B$4:H94),0),""))</f>
        <v/>
      </c>
      <c r="I96" s="7" t="str">
        <f>IF($D$3="","",IFERROR(VLOOKUP($G$3&amp;$B96,DataTable[],COLUMNS($B$4:I94),0),""))</f>
        <v/>
      </c>
    </row>
    <row r="97" spans="2:9">
      <c r="B97" s="6" t="str">
        <f t="shared" si="1"/>
        <v/>
      </c>
      <c r="C97" s="4" t="str">
        <f>IF($D$3="","",IFERROR(VLOOKUP($G$3&amp;$B97,DataTable[],COLUMNS($B$4:C95),0),""))</f>
        <v/>
      </c>
      <c r="D97" s="4" t="str">
        <f>IF($D$3="","",IFERROR(VLOOKUP($G$3&amp;$B97,DataTable[],COLUMNS($B$4:D95),0),""))</f>
        <v/>
      </c>
      <c r="E97" s="4" t="str">
        <f>IF($D$3="","",IFERROR(VLOOKUP($G$3&amp;$B97,DataTable[],COLUMNS($B$4:E95),0),""))</f>
        <v/>
      </c>
      <c r="F97" s="4" t="str">
        <f>IF($D$3="","",IFERROR(VLOOKUP($G$3&amp;$B97,DataTable[],COLUMNS($B$4:F95),0),""))</f>
        <v/>
      </c>
      <c r="G97" s="4" t="str">
        <f>IF($D$3="","",IFERROR(VLOOKUP($G$3&amp;$B97,DataTable[],COLUMNS($B$4:G95),0),""))</f>
        <v/>
      </c>
      <c r="H97" s="7" t="str">
        <f>IF($D$3="","",IFERROR(VLOOKUP($G$3&amp;$B97,DataTable[],COLUMNS($B$4:H95),0),""))</f>
        <v/>
      </c>
      <c r="I97" s="7" t="str">
        <f>IF($D$3="","",IFERROR(VLOOKUP($G$3&amp;$B97,DataTable[],COLUMNS($B$4:I95),0),""))</f>
        <v/>
      </c>
    </row>
    <row r="98" spans="2:9">
      <c r="B98" s="6" t="str">
        <f t="shared" si="1"/>
        <v/>
      </c>
      <c r="C98" s="4" t="str">
        <f>IF($D$3="","",IFERROR(VLOOKUP($G$3&amp;$B98,DataTable[],COLUMNS($B$4:C96),0),""))</f>
        <v/>
      </c>
      <c r="D98" s="4" t="str">
        <f>IF($D$3="","",IFERROR(VLOOKUP($G$3&amp;$B98,DataTable[],COLUMNS($B$4:D96),0),""))</f>
        <v/>
      </c>
      <c r="E98" s="4" t="str">
        <f>IF($D$3="","",IFERROR(VLOOKUP($G$3&amp;$B98,DataTable[],COLUMNS($B$4:E96),0),""))</f>
        <v/>
      </c>
      <c r="F98" s="4" t="str">
        <f>IF($D$3="","",IFERROR(VLOOKUP($G$3&amp;$B98,DataTable[],COLUMNS($B$4:F96),0),""))</f>
        <v/>
      </c>
      <c r="G98" s="4" t="str">
        <f>IF($D$3="","",IFERROR(VLOOKUP($G$3&amp;$B98,DataTable[],COLUMNS($B$4:G96),0),""))</f>
        <v/>
      </c>
      <c r="H98" s="7" t="str">
        <f>IF($D$3="","",IFERROR(VLOOKUP($G$3&amp;$B98,DataTable[],COLUMNS($B$4:H96),0),""))</f>
        <v/>
      </c>
      <c r="I98" s="7" t="str">
        <f>IF($D$3="","",IFERROR(VLOOKUP($G$3&amp;$B98,DataTable[],COLUMNS($B$4:I96),0),""))</f>
        <v/>
      </c>
    </row>
    <row r="99" spans="2:9">
      <c r="B99" s="6" t="str">
        <f t="shared" si="1"/>
        <v/>
      </c>
      <c r="C99" s="4" t="str">
        <f>IF($D$3="","",IFERROR(VLOOKUP($G$3&amp;$B99,DataTable[],COLUMNS($B$4:C97),0),""))</f>
        <v/>
      </c>
      <c r="D99" s="4" t="str">
        <f>IF($D$3="","",IFERROR(VLOOKUP($G$3&amp;$B99,DataTable[],COLUMNS($B$4:D97),0),""))</f>
        <v/>
      </c>
      <c r="E99" s="4" t="str">
        <f>IF($D$3="","",IFERROR(VLOOKUP($G$3&amp;$B99,DataTable[],COLUMNS($B$4:E97),0),""))</f>
        <v/>
      </c>
      <c r="F99" s="4" t="str">
        <f>IF($D$3="","",IFERROR(VLOOKUP($G$3&amp;$B99,DataTable[],COLUMNS($B$4:F97),0),""))</f>
        <v/>
      </c>
      <c r="G99" s="4" t="str">
        <f>IF($D$3="","",IFERROR(VLOOKUP($G$3&amp;$B99,DataTable[],COLUMNS($B$4:G97),0),""))</f>
        <v/>
      </c>
      <c r="H99" s="7" t="str">
        <f>IF($D$3="","",IFERROR(VLOOKUP($G$3&amp;$B99,DataTable[],COLUMNS($B$4:H97),0),""))</f>
        <v/>
      </c>
      <c r="I99" s="7" t="str">
        <f>IF($D$3="","",IFERROR(VLOOKUP($G$3&amp;$B99,DataTable[],COLUMNS($B$4:I97),0),""))</f>
        <v/>
      </c>
    </row>
    <row r="100" spans="2:9">
      <c r="B100" s="6" t="str">
        <f t="shared" si="1"/>
        <v/>
      </c>
      <c r="C100" s="4" t="str">
        <f>IF($D$3="","",IFERROR(VLOOKUP($G$3&amp;$B100,DataTable[],COLUMNS($B$4:C98),0),""))</f>
        <v/>
      </c>
      <c r="D100" s="4" t="str">
        <f>IF($D$3="","",IFERROR(VLOOKUP($G$3&amp;$B100,DataTable[],COLUMNS($B$4:D98),0),""))</f>
        <v/>
      </c>
      <c r="E100" s="4" t="str">
        <f>IF($D$3="","",IFERROR(VLOOKUP($G$3&amp;$B100,DataTable[],COLUMNS($B$4:E98),0),""))</f>
        <v/>
      </c>
      <c r="F100" s="4" t="str">
        <f>IF($D$3="","",IFERROR(VLOOKUP($G$3&amp;$B100,DataTable[],COLUMNS($B$4:F98),0),""))</f>
        <v/>
      </c>
      <c r="G100" s="4" t="str">
        <f>IF($D$3="","",IFERROR(VLOOKUP($G$3&amp;$B100,DataTable[],COLUMNS($B$4:G98),0),""))</f>
        <v/>
      </c>
      <c r="H100" s="7" t="str">
        <f>IF($D$3="","",IFERROR(VLOOKUP($G$3&amp;$B100,DataTable[],COLUMNS($B$4:H98),0),""))</f>
        <v/>
      </c>
      <c r="I100" s="7" t="str">
        <f>IF($D$3="","",IFERROR(VLOOKUP($G$3&amp;$B100,DataTable[],COLUMNS($B$4:I98),0),""))</f>
        <v/>
      </c>
    </row>
    <row r="101" spans="2:9">
      <c r="B101" s="6" t="str">
        <f t="shared" si="1"/>
        <v/>
      </c>
      <c r="C101" s="4" t="str">
        <f>IF($D$3="","",IFERROR(VLOOKUP($G$3&amp;$B101,DataTable[],COLUMNS($B$4:C99),0),""))</f>
        <v/>
      </c>
      <c r="D101" s="4" t="str">
        <f>IF($D$3="","",IFERROR(VLOOKUP($G$3&amp;$B101,DataTable[],COLUMNS($B$4:D99),0),""))</f>
        <v/>
      </c>
      <c r="E101" s="4" t="str">
        <f>IF($D$3="","",IFERROR(VLOOKUP($G$3&amp;$B101,DataTable[],COLUMNS($B$4:E99),0),""))</f>
        <v/>
      </c>
      <c r="F101" s="4" t="str">
        <f>IF($D$3="","",IFERROR(VLOOKUP($G$3&amp;$B101,DataTable[],COLUMNS($B$4:F99),0),""))</f>
        <v/>
      </c>
      <c r="G101" s="4" t="str">
        <f>IF($D$3="","",IFERROR(VLOOKUP($G$3&amp;$B101,DataTable[],COLUMNS($B$4:G99),0),""))</f>
        <v/>
      </c>
      <c r="H101" s="7" t="str">
        <f>IF($D$3="","",IFERROR(VLOOKUP($G$3&amp;$B101,DataTable[],COLUMNS($B$4:H99),0),""))</f>
        <v/>
      </c>
      <c r="I101" s="7" t="str">
        <f>IF($D$3="","",IFERROR(VLOOKUP($G$3&amp;$B101,DataTable[],COLUMNS($B$4:I99),0),""))</f>
        <v/>
      </c>
    </row>
    <row r="102" spans="2:9">
      <c r="B102" s="6" t="str">
        <f t="shared" si="1"/>
        <v/>
      </c>
      <c r="C102" s="4" t="str">
        <f>IF($D$3="","",IFERROR(VLOOKUP($G$3&amp;$B102,DataTable[],COLUMNS($B$4:C100),0),""))</f>
        <v/>
      </c>
      <c r="D102" s="4" t="str">
        <f>IF($D$3="","",IFERROR(VLOOKUP($G$3&amp;$B102,DataTable[],COLUMNS($B$4:D100),0),""))</f>
        <v/>
      </c>
      <c r="E102" s="4" t="str">
        <f>IF($D$3="","",IFERROR(VLOOKUP($G$3&amp;$B102,DataTable[],COLUMNS($B$4:E100),0),""))</f>
        <v/>
      </c>
      <c r="F102" s="4" t="str">
        <f>IF($D$3="","",IFERROR(VLOOKUP($G$3&amp;$B102,DataTable[],COLUMNS($B$4:F100),0),""))</f>
        <v/>
      </c>
      <c r="G102" s="4" t="str">
        <f>IF($D$3="","",IFERROR(VLOOKUP($G$3&amp;$B102,DataTable[],COLUMNS($B$4:G100),0),""))</f>
        <v/>
      </c>
      <c r="H102" s="7" t="str">
        <f>IF($D$3="","",IFERROR(VLOOKUP($G$3&amp;$B102,DataTable[],COLUMNS($B$4:H100),0),""))</f>
        <v/>
      </c>
      <c r="I102" s="7" t="str">
        <f>IF($D$3="","",IFERROR(VLOOKUP($G$3&amp;$B102,DataTable[],COLUMNS($B$4:I100),0),""))</f>
        <v/>
      </c>
    </row>
    <row r="103" spans="2:9">
      <c r="B103" s="6" t="str">
        <f t="shared" si="1"/>
        <v/>
      </c>
      <c r="C103" s="4" t="str">
        <f>IF($D$3="","",IFERROR(VLOOKUP($G$3&amp;$B103,DataTable[],COLUMNS($B$4:C101),0),""))</f>
        <v/>
      </c>
      <c r="D103" s="4" t="str">
        <f>IF($D$3="","",IFERROR(VLOOKUP($G$3&amp;$B103,DataTable[],COLUMNS($B$4:D101),0),""))</f>
        <v/>
      </c>
      <c r="E103" s="4" t="str">
        <f>IF($D$3="","",IFERROR(VLOOKUP($G$3&amp;$B103,DataTable[],COLUMNS($B$4:E101),0),""))</f>
        <v/>
      </c>
      <c r="F103" s="4" t="str">
        <f>IF($D$3="","",IFERROR(VLOOKUP($G$3&amp;$B103,DataTable[],COLUMNS($B$4:F101),0),""))</f>
        <v/>
      </c>
      <c r="G103" s="4" t="str">
        <f>IF($D$3="","",IFERROR(VLOOKUP($G$3&amp;$B103,DataTable[],COLUMNS($B$4:G101),0),""))</f>
        <v/>
      </c>
      <c r="H103" s="7" t="str">
        <f>IF($D$3="","",IFERROR(VLOOKUP($G$3&amp;$B103,DataTable[],COLUMNS($B$4:H101),0),""))</f>
        <v/>
      </c>
      <c r="I103" s="7" t="str">
        <f>IF($D$3="","",IFERROR(VLOOKUP($G$3&amp;$B103,DataTable[],COLUMNS($B$4:I101),0),""))</f>
        <v/>
      </c>
    </row>
    <row r="104" spans="2:9">
      <c r="B104" s="6" t="str">
        <f t="shared" si="1"/>
        <v/>
      </c>
      <c r="C104" s="4" t="str">
        <f>IF($D$3="","",IFERROR(VLOOKUP($G$3&amp;$B104,DataTable[],COLUMNS($B$4:C102),0),""))</f>
        <v/>
      </c>
      <c r="D104" s="4" t="str">
        <f>IF($D$3="","",IFERROR(VLOOKUP($G$3&amp;$B104,DataTable[],COLUMNS($B$4:D102),0),""))</f>
        <v/>
      </c>
      <c r="E104" s="4" t="str">
        <f>IF($D$3="","",IFERROR(VLOOKUP($G$3&amp;$B104,DataTable[],COLUMNS($B$4:E102),0),""))</f>
        <v/>
      </c>
      <c r="F104" s="4" t="str">
        <f>IF($D$3="","",IFERROR(VLOOKUP($G$3&amp;$B104,DataTable[],COLUMNS($B$4:F102),0),""))</f>
        <v/>
      </c>
      <c r="G104" s="4" t="str">
        <f>IF($D$3="","",IFERROR(VLOOKUP($G$3&amp;$B104,DataTable[],COLUMNS($B$4:G102),0),""))</f>
        <v/>
      </c>
      <c r="H104" s="7" t="str">
        <f>IF($D$3="","",IFERROR(VLOOKUP($G$3&amp;$B104,DataTable[],COLUMNS($B$4:H102),0),""))</f>
        <v/>
      </c>
      <c r="I104" s="7" t="str">
        <f>IF($D$3="","",IFERROR(VLOOKUP($G$3&amp;$B104,DataTable[],COLUMNS($B$4:I102),0),""))</f>
        <v/>
      </c>
    </row>
    <row r="105" spans="2:9">
      <c r="B105" s="6" t="str">
        <f t="shared" si="1"/>
        <v/>
      </c>
      <c r="C105" s="4" t="str">
        <f>IF($D$3="","",IFERROR(VLOOKUP($G$3&amp;$B105,DataTable[],COLUMNS($B$4:C103),0),""))</f>
        <v/>
      </c>
      <c r="D105" s="4" t="str">
        <f>IF($D$3="","",IFERROR(VLOOKUP($G$3&amp;$B105,DataTable[],COLUMNS($B$4:D103),0),""))</f>
        <v/>
      </c>
      <c r="E105" s="4" t="str">
        <f>IF($D$3="","",IFERROR(VLOOKUP($G$3&amp;$B105,DataTable[],COLUMNS($B$4:E103),0),""))</f>
        <v/>
      </c>
      <c r="F105" s="4" t="str">
        <f>IF($D$3="","",IFERROR(VLOOKUP($G$3&amp;$B105,DataTable[],COLUMNS($B$4:F103),0),""))</f>
        <v/>
      </c>
      <c r="G105" s="4" t="str">
        <f>IF($D$3="","",IFERROR(VLOOKUP($G$3&amp;$B105,DataTable[],COLUMNS($B$4:G103),0),""))</f>
        <v/>
      </c>
      <c r="H105" s="7" t="str">
        <f>IF($D$3="","",IFERROR(VLOOKUP($G$3&amp;$B105,DataTable[],COLUMNS($B$4:H103),0),""))</f>
        <v/>
      </c>
      <c r="I105" s="7" t="str">
        <f>IF($D$3="","",IFERROR(VLOOKUP($G$3&amp;$B105,DataTable[],COLUMNS($B$4:I103),0),""))</f>
        <v/>
      </c>
    </row>
    <row r="106" spans="2:9">
      <c r="B106" s="6" t="str">
        <f t="shared" si="1"/>
        <v/>
      </c>
      <c r="C106" s="4" t="str">
        <f>IF($D$3="","",IFERROR(VLOOKUP($G$3&amp;$B106,DataTable[],COLUMNS($B$4:C104),0),""))</f>
        <v/>
      </c>
      <c r="D106" s="4" t="str">
        <f>IF($D$3="","",IFERROR(VLOOKUP($G$3&amp;$B106,DataTable[],COLUMNS($B$4:D104),0),""))</f>
        <v/>
      </c>
      <c r="E106" s="4" t="str">
        <f>IF($D$3="","",IFERROR(VLOOKUP($G$3&amp;$B106,DataTable[],COLUMNS($B$4:E104),0),""))</f>
        <v/>
      </c>
      <c r="F106" s="4" t="str">
        <f>IF($D$3="","",IFERROR(VLOOKUP($G$3&amp;$B106,DataTable[],COLUMNS($B$4:F104),0),""))</f>
        <v/>
      </c>
      <c r="G106" s="4" t="str">
        <f>IF($D$3="","",IFERROR(VLOOKUP($G$3&amp;$B106,DataTable[],COLUMNS($B$4:G104),0),""))</f>
        <v/>
      </c>
      <c r="H106" s="7" t="str">
        <f>IF($D$3="","",IFERROR(VLOOKUP($G$3&amp;$B106,DataTable[],COLUMNS($B$4:H104),0),""))</f>
        <v/>
      </c>
      <c r="I106" s="7" t="str">
        <f>IF($D$3="","",IFERROR(VLOOKUP($G$3&amp;$B106,DataTable[],COLUMNS($B$4:I104),0),""))</f>
        <v/>
      </c>
    </row>
    <row r="107" spans="2:9">
      <c r="B107" s="6" t="str">
        <f t="shared" si="1"/>
        <v/>
      </c>
      <c r="C107" s="4" t="str">
        <f>IF($D$3="","",IFERROR(VLOOKUP($G$3&amp;$B107,DataTable[],COLUMNS($B$4:C105),0),""))</f>
        <v/>
      </c>
      <c r="D107" s="4" t="str">
        <f>IF($D$3="","",IFERROR(VLOOKUP($G$3&amp;$B107,DataTable[],COLUMNS($B$4:D105),0),""))</f>
        <v/>
      </c>
      <c r="E107" s="4" t="str">
        <f>IF($D$3="","",IFERROR(VLOOKUP($G$3&amp;$B107,DataTable[],COLUMNS($B$4:E105),0),""))</f>
        <v/>
      </c>
      <c r="F107" s="4" t="str">
        <f>IF($D$3="","",IFERROR(VLOOKUP($G$3&amp;$B107,DataTable[],COLUMNS($B$4:F105),0),""))</f>
        <v/>
      </c>
      <c r="G107" s="4" t="str">
        <f>IF($D$3="","",IFERROR(VLOOKUP($G$3&amp;$B107,DataTable[],COLUMNS($B$4:G105),0),""))</f>
        <v/>
      </c>
      <c r="H107" s="7" t="str">
        <f>IF($D$3="","",IFERROR(VLOOKUP($G$3&amp;$B107,DataTable[],COLUMNS($B$4:H105),0),""))</f>
        <v/>
      </c>
      <c r="I107" s="7" t="str">
        <f>IF($D$3="","",IFERROR(VLOOKUP($G$3&amp;$B107,DataTable[],COLUMNS($B$4:I105),0),""))</f>
        <v/>
      </c>
    </row>
    <row r="108" spans="2:9">
      <c r="B108" s="6" t="str">
        <f t="shared" si="1"/>
        <v/>
      </c>
      <c r="C108" s="4" t="str">
        <f>IF($D$3="","",IFERROR(VLOOKUP($G$3&amp;$B108,DataTable[],COLUMNS($B$4:C106),0),""))</f>
        <v/>
      </c>
      <c r="D108" s="4" t="str">
        <f>IF($D$3="","",IFERROR(VLOOKUP($G$3&amp;$B108,DataTable[],COLUMNS($B$4:D106),0),""))</f>
        <v/>
      </c>
      <c r="E108" s="4" t="str">
        <f>IF($D$3="","",IFERROR(VLOOKUP($G$3&amp;$B108,DataTable[],COLUMNS($B$4:E106),0),""))</f>
        <v/>
      </c>
      <c r="F108" s="4" t="str">
        <f>IF($D$3="","",IFERROR(VLOOKUP($G$3&amp;$B108,DataTable[],COLUMNS($B$4:F106),0),""))</f>
        <v/>
      </c>
      <c r="G108" s="4" t="str">
        <f>IF($D$3="","",IFERROR(VLOOKUP($G$3&amp;$B108,DataTable[],COLUMNS($B$4:G106),0),""))</f>
        <v/>
      </c>
      <c r="H108" s="7" t="str">
        <f>IF($D$3="","",IFERROR(VLOOKUP($G$3&amp;$B108,DataTable[],COLUMNS($B$4:H106),0),""))</f>
        <v/>
      </c>
      <c r="I108" s="7" t="str">
        <f>IF($D$3="","",IFERROR(VLOOKUP($G$3&amp;$B108,DataTable[],COLUMNS($B$4:I106),0),""))</f>
        <v/>
      </c>
    </row>
    <row r="109" spans="2:9">
      <c r="B109" s="6" t="str">
        <f t="shared" si="1"/>
        <v/>
      </c>
      <c r="C109" s="4" t="str">
        <f>IF($D$3="","",IFERROR(VLOOKUP($G$3&amp;$B109,DataTable[],COLUMNS($B$4:C107),0),""))</f>
        <v/>
      </c>
      <c r="D109" s="4" t="str">
        <f>IF($D$3="","",IFERROR(VLOOKUP($G$3&amp;$B109,DataTable[],COLUMNS($B$4:D107),0),""))</f>
        <v/>
      </c>
      <c r="E109" s="4" t="str">
        <f>IF($D$3="","",IFERROR(VLOOKUP($G$3&amp;$B109,DataTable[],COLUMNS($B$4:E107),0),""))</f>
        <v/>
      </c>
      <c r="F109" s="4" t="str">
        <f>IF($D$3="","",IFERROR(VLOOKUP($G$3&amp;$B109,DataTable[],COLUMNS($B$4:F107),0),""))</f>
        <v/>
      </c>
      <c r="G109" s="4" t="str">
        <f>IF($D$3="","",IFERROR(VLOOKUP($G$3&amp;$B109,DataTable[],COLUMNS($B$4:G107),0),""))</f>
        <v/>
      </c>
      <c r="H109" s="7" t="str">
        <f>IF($D$3="","",IFERROR(VLOOKUP($G$3&amp;$B109,DataTable[],COLUMNS($B$4:H107),0),""))</f>
        <v/>
      </c>
      <c r="I109" s="7" t="str">
        <f>IF($D$3="","",IFERROR(VLOOKUP($G$3&amp;$B109,DataTable[],COLUMNS($B$4:I107),0),""))</f>
        <v/>
      </c>
    </row>
    <row r="110" spans="2:9">
      <c r="B110" s="6" t="str">
        <f t="shared" si="1"/>
        <v/>
      </c>
      <c r="C110" s="4" t="str">
        <f>IF($D$3="","",IFERROR(VLOOKUP($G$3&amp;$B110,DataTable[],COLUMNS($B$4:C108),0),""))</f>
        <v/>
      </c>
      <c r="D110" s="4" t="str">
        <f>IF($D$3="","",IFERROR(VLOOKUP($G$3&amp;$B110,DataTable[],COLUMNS($B$4:D108),0),""))</f>
        <v/>
      </c>
      <c r="E110" s="4" t="str">
        <f>IF($D$3="","",IFERROR(VLOOKUP($G$3&amp;$B110,DataTable[],COLUMNS($B$4:E108),0),""))</f>
        <v/>
      </c>
      <c r="F110" s="4" t="str">
        <f>IF($D$3="","",IFERROR(VLOOKUP($G$3&amp;$B110,DataTable[],COLUMNS($B$4:F108),0),""))</f>
        <v/>
      </c>
      <c r="G110" s="4" t="str">
        <f>IF($D$3="","",IFERROR(VLOOKUP($G$3&amp;$B110,DataTable[],COLUMNS($B$4:G108),0),""))</f>
        <v/>
      </c>
      <c r="H110" s="7" t="str">
        <f>IF($D$3="","",IFERROR(VLOOKUP($G$3&amp;$B110,DataTable[],COLUMNS($B$4:H108),0),""))</f>
        <v/>
      </c>
      <c r="I110" s="7" t="str">
        <f>IF($D$3="","",IFERROR(VLOOKUP($G$3&amp;$B110,DataTable[],COLUMNS($B$4:I108),0),""))</f>
        <v/>
      </c>
    </row>
    <row r="111" spans="2:9">
      <c r="B111" s="6" t="str">
        <f t="shared" si="1"/>
        <v/>
      </c>
      <c r="C111" s="4" t="str">
        <f>IF($D$3="","",IFERROR(VLOOKUP($G$3&amp;$B111,DataTable[],COLUMNS($B$4:C109),0),""))</f>
        <v/>
      </c>
      <c r="D111" s="4" t="str">
        <f>IF($D$3="","",IFERROR(VLOOKUP($G$3&amp;$B111,DataTable[],COLUMNS($B$4:D109),0),""))</f>
        <v/>
      </c>
      <c r="E111" s="4" t="str">
        <f>IF($D$3="","",IFERROR(VLOOKUP($G$3&amp;$B111,DataTable[],COLUMNS($B$4:E109),0),""))</f>
        <v/>
      </c>
      <c r="F111" s="4" t="str">
        <f>IF($D$3="","",IFERROR(VLOOKUP($G$3&amp;$B111,DataTable[],COLUMNS($B$4:F109),0),""))</f>
        <v/>
      </c>
      <c r="G111" s="4" t="str">
        <f>IF($D$3="","",IFERROR(VLOOKUP($G$3&amp;$B111,DataTable[],COLUMNS($B$4:G109),0),""))</f>
        <v/>
      </c>
      <c r="H111" s="7" t="str">
        <f>IF($D$3="","",IFERROR(VLOOKUP($G$3&amp;$B111,DataTable[],COLUMNS($B$4:H109),0),""))</f>
        <v/>
      </c>
      <c r="I111" s="7" t="str">
        <f>IF($D$3="","",IFERROR(VLOOKUP($G$3&amp;$B111,DataTable[],COLUMNS($B$4:I109),0),""))</f>
        <v/>
      </c>
    </row>
    <row r="112" spans="2:9">
      <c r="B112" s="6" t="str">
        <f t="shared" si="1"/>
        <v/>
      </c>
      <c r="C112" s="4" t="str">
        <f>IF($D$3="","",IFERROR(VLOOKUP($G$3&amp;$B112,DataTable[],COLUMNS($B$4:C110),0),""))</f>
        <v/>
      </c>
      <c r="D112" s="4" t="str">
        <f>IF($D$3="","",IFERROR(VLOOKUP($G$3&amp;$B112,DataTable[],COLUMNS($B$4:D110),0),""))</f>
        <v/>
      </c>
      <c r="E112" s="4" t="str">
        <f>IF($D$3="","",IFERROR(VLOOKUP($G$3&amp;$B112,DataTable[],COLUMNS($B$4:E110),0),""))</f>
        <v/>
      </c>
      <c r="F112" s="4" t="str">
        <f>IF($D$3="","",IFERROR(VLOOKUP($G$3&amp;$B112,DataTable[],COLUMNS($B$4:F110),0),""))</f>
        <v/>
      </c>
      <c r="G112" s="4" t="str">
        <f>IF($D$3="","",IFERROR(VLOOKUP($G$3&amp;$B112,DataTable[],COLUMNS($B$4:G110),0),""))</f>
        <v/>
      </c>
      <c r="H112" s="7" t="str">
        <f>IF($D$3="","",IFERROR(VLOOKUP($G$3&amp;$B112,DataTable[],COLUMNS($B$4:H110),0),""))</f>
        <v/>
      </c>
      <c r="I112" s="7" t="str">
        <f>IF($D$3="","",IFERROR(VLOOKUP($G$3&amp;$B112,DataTable[],COLUMNS($B$4:I110),0),""))</f>
        <v/>
      </c>
    </row>
    <row r="113" spans="2:9">
      <c r="B113" s="6" t="str">
        <f t="shared" si="1"/>
        <v/>
      </c>
      <c r="C113" s="4" t="str">
        <f>IF($D$3="","",IFERROR(VLOOKUP($G$3&amp;$B113,DataTable[],COLUMNS($B$4:C111),0),""))</f>
        <v/>
      </c>
      <c r="D113" s="4" t="str">
        <f>IF($D$3="","",IFERROR(VLOOKUP($G$3&amp;$B113,DataTable[],COLUMNS($B$4:D111),0),""))</f>
        <v/>
      </c>
      <c r="E113" s="4" t="str">
        <f>IF($D$3="","",IFERROR(VLOOKUP($G$3&amp;$B113,DataTable[],COLUMNS($B$4:E111),0),""))</f>
        <v/>
      </c>
      <c r="F113" s="4" t="str">
        <f>IF($D$3="","",IFERROR(VLOOKUP($G$3&amp;$B113,DataTable[],COLUMNS($B$4:F111),0),""))</f>
        <v/>
      </c>
      <c r="G113" s="4" t="str">
        <f>IF($D$3="","",IFERROR(VLOOKUP($G$3&amp;$B113,DataTable[],COLUMNS($B$4:G111),0),""))</f>
        <v/>
      </c>
      <c r="H113" s="7" t="str">
        <f>IF($D$3="","",IFERROR(VLOOKUP($G$3&amp;$B113,DataTable[],COLUMNS($B$4:H111),0),""))</f>
        <v/>
      </c>
      <c r="I113" s="7" t="str">
        <f>IF($D$3="","",IFERROR(VLOOKUP($G$3&amp;$B113,DataTable[],COLUMNS($B$4:I111),0),""))</f>
        <v/>
      </c>
    </row>
    <row r="114" spans="2:9">
      <c r="B114" s="6" t="str">
        <f t="shared" si="1"/>
        <v/>
      </c>
      <c r="C114" s="4" t="str">
        <f>IF($D$3="","",IFERROR(VLOOKUP($G$3&amp;$B114,DataTable[],COLUMNS($B$4:C112),0),""))</f>
        <v/>
      </c>
      <c r="D114" s="4" t="str">
        <f>IF($D$3="","",IFERROR(VLOOKUP($G$3&amp;$B114,DataTable[],COLUMNS($B$4:D112),0),""))</f>
        <v/>
      </c>
      <c r="E114" s="4" t="str">
        <f>IF($D$3="","",IFERROR(VLOOKUP($G$3&amp;$B114,DataTable[],COLUMNS($B$4:E112),0),""))</f>
        <v/>
      </c>
      <c r="F114" s="4" t="str">
        <f>IF($D$3="","",IFERROR(VLOOKUP($G$3&amp;$B114,DataTable[],COLUMNS($B$4:F112),0),""))</f>
        <v/>
      </c>
      <c r="G114" s="4" t="str">
        <f>IF($D$3="","",IFERROR(VLOOKUP($G$3&amp;$B114,DataTable[],COLUMNS($B$4:G112),0),""))</f>
        <v/>
      </c>
      <c r="H114" s="7" t="str">
        <f>IF($D$3="","",IFERROR(VLOOKUP($G$3&amp;$B114,DataTable[],COLUMNS($B$4:H112),0),""))</f>
        <v/>
      </c>
      <c r="I114" s="7" t="str">
        <f>IF($D$3="","",IFERROR(VLOOKUP($G$3&amp;$B114,DataTable[],COLUMNS($B$4:I112),0),""))</f>
        <v/>
      </c>
    </row>
    <row r="115" spans="2:9">
      <c r="B115" s="6" t="str">
        <f t="shared" si="1"/>
        <v/>
      </c>
      <c r="C115" s="4" t="str">
        <f>IF($D$3="","",IFERROR(VLOOKUP($G$3&amp;$B115,DataTable[],COLUMNS($B$4:C113),0),""))</f>
        <v/>
      </c>
      <c r="D115" s="4" t="str">
        <f>IF($D$3="","",IFERROR(VLOOKUP($G$3&amp;$B115,DataTable[],COLUMNS($B$4:D113),0),""))</f>
        <v/>
      </c>
      <c r="E115" s="4" t="str">
        <f>IF($D$3="","",IFERROR(VLOOKUP($G$3&amp;$B115,DataTable[],COLUMNS($B$4:E113),0),""))</f>
        <v/>
      </c>
      <c r="F115" s="4" t="str">
        <f>IF($D$3="","",IFERROR(VLOOKUP($G$3&amp;$B115,DataTable[],COLUMNS($B$4:F113),0),""))</f>
        <v/>
      </c>
      <c r="G115" s="4" t="str">
        <f>IF($D$3="","",IFERROR(VLOOKUP($G$3&amp;$B115,DataTable[],COLUMNS($B$4:G113),0),""))</f>
        <v/>
      </c>
      <c r="H115" s="7" t="str">
        <f>IF($D$3="","",IFERROR(VLOOKUP($G$3&amp;$B115,DataTable[],COLUMNS($B$4:H113),0),""))</f>
        <v/>
      </c>
      <c r="I115" s="7" t="str">
        <f>IF($D$3="","",IFERROR(VLOOKUP($G$3&amp;$B115,DataTable[],COLUMNS($B$4:I113),0),""))</f>
        <v/>
      </c>
    </row>
    <row r="116" spans="2:9">
      <c r="B116" s="6" t="str">
        <f t="shared" si="1"/>
        <v/>
      </c>
      <c r="C116" s="4" t="str">
        <f>IF($D$3="","",IFERROR(VLOOKUP($G$3&amp;$B116,DataTable[],COLUMNS($B$4:C114),0),""))</f>
        <v/>
      </c>
      <c r="D116" s="4" t="str">
        <f>IF($D$3="","",IFERROR(VLOOKUP($G$3&amp;$B116,DataTable[],COLUMNS($B$4:D114),0),""))</f>
        <v/>
      </c>
      <c r="E116" s="4" t="str">
        <f>IF($D$3="","",IFERROR(VLOOKUP($G$3&amp;$B116,DataTable[],COLUMNS($B$4:E114),0),""))</f>
        <v/>
      </c>
      <c r="F116" s="4" t="str">
        <f>IF($D$3="","",IFERROR(VLOOKUP($G$3&amp;$B116,DataTable[],COLUMNS($B$4:F114),0),""))</f>
        <v/>
      </c>
      <c r="G116" s="4" t="str">
        <f>IF($D$3="","",IFERROR(VLOOKUP($G$3&amp;$B116,DataTable[],COLUMNS($B$4:G114),0),""))</f>
        <v/>
      </c>
      <c r="H116" s="7" t="str">
        <f>IF($D$3="","",IFERROR(VLOOKUP($G$3&amp;$B116,DataTable[],COLUMNS($B$4:H114),0),""))</f>
        <v/>
      </c>
      <c r="I116" s="7" t="str">
        <f>IF($D$3="","",IFERROR(VLOOKUP($G$3&amp;$B116,DataTable[],COLUMNS($B$4:I114),0),""))</f>
        <v/>
      </c>
    </row>
    <row r="117" spans="2:9">
      <c r="B117" s="6" t="str">
        <f t="shared" si="1"/>
        <v/>
      </c>
      <c r="C117" s="4" t="str">
        <f>IF($D$3="","",IFERROR(VLOOKUP($G$3&amp;$B117,DataTable[],COLUMNS($B$4:C115),0),""))</f>
        <v/>
      </c>
      <c r="D117" s="4" t="str">
        <f>IF($D$3="","",IFERROR(VLOOKUP($G$3&amp;$B117,DataTable[],COLUMNS($B$4:D115),0),""))</f>
        <v/>
      </c>
      <c r="E117" s="4" t="str">
        <f>IF($D$3="","",IFERROR(VLOOKUP($G$3&amp;$B117,DataTable[],COLUMNS($B$4:E115),0),""))</f>
        <v/>
      </c>
      <c r="F117" s="4" t="str">
        <f>IF($D$3="","",IFERROR(VLOOKUP($G$3&amp;$B117,DataTable[],COLUMNS($B$4:F115),0),""))</f>
        <v/>
      </c>
      <c r="G117" s="4" t="str">
        <f>IF($D$3="","",IFERROR(VLOOKUP($G$3&amp;$B117,DataTable[],COLUMNS($B$4:G115),0),""))</f>
        <v/>
      </c>
      <c r="H117" s="7" t="str">
        <f>IF($D$3="","",IFERROR(VLOOKUP($G$3&amp;$B117,DataTable[],COLUMNS($B$4:H115),0),""))</f>
        <v/>
      </c>
      <c r="I117" s="7" t="str">
        <f>IF($D$3="","",IFERROR(VLOOKUP($G$3&amp;$B117,DataTable[],COLUMNS($B$4:I115),0),""))</f>
        <v/>
      </c>
    </row>
    <row r="118" spans="2:9">
      <c r="B118" s="6" t="str">
        <f t="shared" si="1"/>
        <v/>
      </c>
      <c r="C118" s="4" t="str">
        <f>IF($D$3="","",IFERROR(VLOOKUP($G$3&amp;$B118,DataTable[],COLUMNS($B$4:C116),0),""))</f>
        <v/>
      </c>
      <c r="D118" s="4" t="str">
        <f>IF($D$3="","",IFERROR(VLOOKUP($G$3&amp;$B118,DataTable[],COLUMNS($B$4:D116),0),""))</f>
        <v/>
      </c>
      <c r="E118" s="4" t="str">
        <f>IF($D$3="","",IFERROR(VLOOKUP($G$3&amp;$B118,DataTable[],COLUMNS($B$4:E116),0),""))</f>
        <v/>
      </c>
      <c r="F118" s="4" t="str">
        <f>IF($D$3="","",IFERROR(VLOOKUP($G$3&amp;$B118,DataTable[],COLUMNS($B$4:F116),0),""))</f>
        <v/>
      </c>
      <c r="G118" s="4" t="str">
        <f>IF($D$3="","",IFERROR(VLOOKUP($G$3&amp;$B118,DataTable[],COLUMNS($B$4:G116),0),""))</f>
        <v/>
      </c>
      <c r="H118" s="7" t="str">
        <f>IF($D$3="","",IFERROR(VLOOKUP($G$3&amp;$B118,DataTable[],COLUMNS($B$4:H116),0),""))</f>
        <v/>
      </c>
      <c r="I118" s="7" t="str">
        <f>IF($D$3="","",IFERROR(VLOOKUP($G$3&amp;$B118,DataTable[],COLUMNS($B$4:I116),0),""))</f>
        <v/>
      </c>
    </row>
    <row r="119" spans="2:9">
      <c r="B119" s="6" t="str">
        <f t="shared" si="1"/>
        <v/>
      </c>
      <c r="C119" s="4" t="str">
        <f>IF($D$3="","",IFERROR(VLOOKUP($G$3&amp;$B119,DataTable[],COLUMNS($B$4:C117),0),""))</f>
        <v/>
      </c>
      <c r="D119" s="4" t="str">
        <f>IF($D$3="","",IFERROR(VLOOKUP($G$3&amp;$B119,DataTable[],COLUMNS($B$4:D117),0),""))</f>
        <v/>
      </c>
      <c r="E119" s="4" t="str">
        <f>IF($D$3="","",IFERROR(VLOOKUP($G$3&amp;$B119,DataTable[],COLUMNS($B$4:E117),0),""))</f>
        <v/>
      </c>
      <c r="F119" s="4" t="str">
        <f>IF($D$3="","",IFERROR(VLOOKUP($G$3&amp;$B119,DataTable[],COLUMNS($B$4:F117),0),""))</f>
        <v/>
      </c>
      <c r="G119" s="4" t="str">
        <f>IF($D$3="","",IFERROR(VLOOKUP($G$3&amp;$B119,DataTable[],COLUMNS($B$4:G117),0),""))</f>
        <v/>
      </c>
      <c r="H119" s="7" t="str">
        <f>IF($D$3="","",IFERROR(VLOOKUP($G$3&amp;$B119,DataTable[],COLUMNS($B$4:H117),0),""))</f>
        <v/>
      </c>
      <c r="I119" s="7" t="str">
        <f>IF($D$3="","",IFERROR(VLOOKUP($G$3&amp;$B119,DataTable[],COLUMNS($B$4:I117),0),""))</f>
        <v/>
      </c>
    </row>
    <row r="120" spans="2:9">
      <c r="B120" s="6" t="str">
        <f t="shared" si="1"/>
        <v/>
      </c>
      <c r="C120" s="4" t="str">
        <f>IF($D$3="","",IFERROR(VLOOKUP($G$3&amp;$B120,DataTable[],COLUMNS($B$4:C118),0),""))</f>
        <v/>
      </c>
      <c r="D120" s="4" t="str">
        <f>IF($D$3="","",IFERROR(VLOOKUP($G$3&amp;$B120,DataTable[],COLUMNS($B$4:D118),0),""))</f>
        <v/>
      </c>
      <c r="E120" s="4" t="str">
        <f>IF($D$3="","",IFERROR(VLOOKUP($G$3&amp;$B120,DataTable[],COLUMNS($B$4:E118),0),""))</f>
        <v/>
      </c>
      <c r="F120" s="4" t="str">
        <f>IF($D$3="","",IFERROR(VLOOKUP($G$3&amp;$B120,DataTable[],COLUMNS($B$4:F118),0),""))</f>
        <v/>
      </c>
      <c r="G120" s="4" t="str">
        <f>IF($D$3="","",IFERROR(VLOOKUP($G$3&amp;$B120,DataTable[],COLUMNS($B$4:G118),0),""))</f>
        <v/>
      </c>
      <c r="H120" s="7" t="str">
        <f>IF($D$3="","",IFERROR(VLOOKUP($G$3&amp;$B120,DataTable[],COLUMNS($B$4:H118),0),""))</f>
        <v/>
      </c>
      <c r="I120" s="7" t="str">
        <f>IF($D$3="","",IFERROR(VLOOKUP($G$3&amp;$B120,DataTable[],COLUMNS($B$4:I118),0),""))</f>
        <v/>
      </c>
    </row>
    <row r="121" spans="2:9">
      <c r="B121" s="6" t="str">
        <f t="shared" si="1"/>
        <v/>
      </c>
      <c r="C121" s="4" t="str">
        <f>IF($D$3="","",IFERROR(VLOOKUP($G$3&amp;$B121,DataTable[],COLUMNS($B$4:C119),0),""))</f>
        <v/>
      </c>
      <c r="D121" s="4" t="str">
        <f>IF($D$3="","",IFERROR(VLOOKUP($G$3&amp;$B121,DataTable[],COLUMNS($B$4:D119),0),""))</f>
        <v/>
      </c>
      <c r="E121" s="4" t="str">
        <f>IF($D$3="","",IFERROR(VLOOKUP($G$3&amp;$B121,DataTable[],COLUMNS($B$4:E119),0),""))</f>
        <v/>
      </c>
      <c r="F121" s="4" t="str">
        <f>IF($D$3="","",IFERROR(VLOOKUP($G$3&amp;$B121,DataTable[],COLUMNS($B$4:F119),0),""))</f>
        <v/>
      </c>
      <c r="G121" s="4" t="str">
        <f>IF($D$3="","",IFERROR(VLOOKUP($G$3&amp;$B121,DataTable[],COLUMNS($B$4:G119),0),""))</f>
        <v/>
      </c>
      <c r="H121" s="7" t="str">
        <f>IF($D$3="","",IFERROR(VLOOKUP($G$3&amp;$B121,DataTable[],COLUMNS($B$4:H119),0),""))</f>
        <v/>
      </c>
      <c r="I121" s="7" t="str">
        <f>IF($D$3="","",IFERROR(VLOOKUP($G$3&amp;$B121,DataTable[],COLUMNS($B$4:I119),0),""))</f>
        <v/>
      </c>
    </row>
    <row r="122" spans="2:9">
      <c r="B122" s="6" t="str">
        <f t="shared" si="1"/>
        <v/>
      </c>
      <c r="C122" s="4" t="str">
        <f>IF($D$3="","",IFERROR(VLOOKUP($G$3&amp;$B122,DataTable[],COLUMNS($B$4:C120),0),""))</f>
        <v/>
      </c>
      <c r="D122" s="4" t="str">
        <f>IF($D$3="","",IFERROR(VLOOKUP($G$3&amp;$B122,DataTable[],COLUMNS($B$4:D120),0),""))</f>
        <v/>
      </c>
      <c r="E122" s="4" t="str">
        <f>IF($D$3="","",IFERROR(VLOOKUP($G$3&amp;$B122,DataTable[],COLUMNS($B$4:E120),0),""))</f>
        <v/>
      </c>
      <c r="F122" s="4" t="str">
        <f>IF($D$3="","",IFERROR(VLOOKUP($G$3&amp;$B122,DataTable[],COLUMNS($B$4:F120),0),""))</f>
        <v/>
      </c>
      <c r="G122" s="4" t="str">
        <f>IF($D$3="","",IFERROR(VLOOKUP($G$3&amp;$B122,DataTable[],COLUMNS($B$4:G120),0),""))</f>
        <v/>
      </c>
      <c r="H122" s="7" t="str">
        <f>IF($D$3="","",IFERROR(VLOOKUP($G$3&amp;$B122,DataTable[],COLUMNS($B$4:H120),0),""))</f>
        <v/>
      </c>
      <c r="I122" s="7" t="str">
        <f>IF($D$3="","",IFERROR(VLOOKUP($G$3&amp;$B122,DataTable[],COLUMNS($B$4:I120),0),""))</f>
        <v/>
      </c>
    </row>
    <row r="123" spans="2:9">
      <c r="B123" s="6" t="str">
        <f t="shared" si="1"/>
        <v/>
      </c>
      <c r="C123" s="4" t="str">
        <f>IF($D$3="","",IFERROR(VLOOKUP($G$3&amp;$B123,DataTable[],COLUMNS($B$4:C121),0),""))</f>
        <v/>
      </c>
      <c r="D123" s="4" t="str">
        <f>IF($D$3="","",IFERROR(VLOOKUP($G$3&amp;$B123,DataTable[],COLUMNS($B$4:D121),0),""))</f>
        <v/>
      </c>
      <c r="E123" s="4" t="str">
        <f>IF($D$3="","",IFERROR(VLOOKUP($G$3&amp;$B123,DataTable[],COLUMNS($B$4:E121),0),""))</f>
        <v/>
      </c>
      <c r="F123" s="4" t="str">
        <f>IF($D$3="","",IFERROR(VLOOKUP($G$3&amp;$B123,DataTable[],COLUMNS($B$4:F121),0),""))</f>
        <v/>
      </c>
      <c r="G123" s="4" t="str">
        <f>IF($D$3="","",IFERROR(VLOOKUP($G$3&amp;$B123,DataTable[],COLUMNS($B$4:G121),0),""))</f>
        <v/>
      </c>
      <c r="H123" s="7" t="str">
        <f>IF($D$3="","",IFERROR(VLOOKUP($G$3&amp;$B123,DataTable[],COLUMNS($B$4:H121),0),""))</f>
        <v/>
      </c>
      <c r="I123" s="7" t="str">
        <f>IF($D$3="","",IFERROR(VLOOKUP($G$3&amp;$B123,DataTable[],COLUMNS($B$4:I121),0),""))</f>
        <v/>
      </c>
    </row>
    <row r="124" spans="2:9">
      <c r="B124" s="6" t="str">
        <f t="shared" si="1"/>
        <v/>
      </c>
      <c r="C124" s="4" t="str">
        <f>IF($D$3="","",IFERROR(VLOOKUP($G$3&amp;$B124,DataTable[],COLUMNS($B$4:C122),0),""))</f>
        <v/>
      </c>
      <c r="D124" s="4" t="str">
        <f>IF($D$3="","",IFERROR(VLOOKUP($G$3&amp;$B124,DataTable[],COLUMNS($B$4:D122),0),""))</f>
        <v/>
      </c>
      <c r="E124" s="4" t="str">
        <f>IF($D$3="","",IFERROR(VLOOKUP($G$3&amp;$B124,DataTable[],COLUMNS($B$4:E122),0),""))</f>
        <v/>
      </c>
      <c r="F124" s="4" t="str">
        <f>IF($D$3="","",IFERROR(VLOOKUP($G$3&amp;$B124,DataTable[],COLUMNS($B$4:F122),0),""))</f>
        <v/>
      </c>
      <c r="G124" s="4" t="str">
        <f>IF($D$3="","",IFERROR(VLOOKUP($G$3&amp;$B124,DataTable[],COLUMNS($B$4:G122),0),""))</f>
        <v/>
      </c>
      <c r="H124" s="7" t="str">
        <f>IF($D$3="","",IFERROR(VLOOKUP($G$3&amp;$B124,DataTable[],COLUMNS($B$4:H122),0),""))</f>
        <v/>
      </c>
      <c r="I124" s="7" t="str">
        <f>IF($D$3="","",IFERROR(VLOOKUP($G$3&amp;$B124,DataTable[],COLUMNS($B$4:I122),0),""))</f>
        <v/>
      </c>
    </row>
    <row r="125" spans="2:9">
      <c r="B125" s="6" t="str">
        <f t="shared" si="1"/>
        <v/>
      </c>
      <c r="C125" s="4" t="str">
        <f>IF($D$3="","",IFERROR(VLOOKUP($G$3&amp;$B125,DataTable[],COLUMNS($B$4:C123),0),""))</f>
        <v/>
      </c>
      <c r="D125" s="4" t="str">
        <f>IF($D$3="","",IFERROR(VLOOKUP($G$3&amp;$B125,DataTable[],COLUMNS($B$4:D123),0),""))</f>
        <v/>
      </c>
      <c r="E125" s="4" t="str">
        <f>IF($D$3="","",IFERROR(VLOOKUP($G$3&amp;$B125,DataTable[],COLUMNS($B$4:E123),0),""))</f>
        <v/>
      </c>
      <c r="F125" s="4" t="str">
        <f>IF($D$3="","",IFERROR(VLOOKUP($G$3&amp;$B125,DataTable[],COLUMNS($B$4:F123),0),""))</f>
        <v/>
      </c>
      <c r="G125" s="4" t="str">
        <f>IF($D$3="","",IFERROR(VLOOKUP($G$3&amp;$B125,DataTable[],COLUMNS($B$4:G123),0),""))</f>
        <v/>
      </c>
      <c r="H125" s="7" t="str">
        <f>IF($D$3="","",IFERROR(VLOOKUP($G$3&amp;$B125,DataTable[],COLUMNS($B$4:H123),0),""))</f>
        <v/>
      </c>
      <c r="I125" s="7" t="str">
        <f>IF($D$3="","",IFERROR(VLOOKUP($G$3&amp;$B125,DataTable[],COLUMNS($B$4:I123),0),""))</f>
        <v/>
      </c>
    </row>
    <row r="126" spans="2:9">
      <c r="B126" s="6" t="str">
        <f t="shared" si="1"/>
        <v/>
      </c>
      <c r="C126" s="4" t="str">
        <f>IF($D$3="","",IFERROR(VLOOKUP($G$3&amp;$B126,DataTable[],COLUMNS($B$4:C124),0),""))</f>
        <v/>
      </c>
      <c r="D126" s="4" t="str">
        <f>IF($D$3="","",IFERROR(VLOOKUP($G$3&amp;$B126,DataTable[],COLUMNS($B$4:D124),0),""))</f>
        <v/>
      </c>
      <c r="E126" s="4" t="str">
        <f>IF($D$3="","",IFERROR(VLOOKUP($G$3&amp;$B126,DataTable[],COLUMNS($B$4:E124),0),""))</f>
        <v/>
      </c>
      <c r="F126" s="4" t="str">
        <f>IF($D$3="","",IFERROR(VLOOKUP($G$3&amp;$B126,DataTable[],COLUMNS($B$4:F124),0),""))</f>
        <v/>
      </c>
      <c r="G126" s="4" t="str">
        <f>IF($D$3="","",IFERROR(VLOOKUP($G$3&amp;$B126,DataTable[],COLUMNS($B$4:G124),0),""))</f>
        <v/>
      </c>
      <c r="H126" s="7" t="str">
        <f>IF($D$3="","",IFERROR(VLOOKUP($G$3&amp;$B126,DataTable[],COLUMNS($B$4:H124),0),""))</f>
        <v/>
      </c>
      <c r="I126" s="7" t="str">
        <f>IF($D$3="","",IFERROR(VLOOKUP($G$3&amp;$B126,DataTable[],COLUMNS($B$4:I124),0),""))</f>
        <v/>
      </c>
    </row>
    <row r="127" spans="2:9">
      <c r="B127" s="6" t="str">
        <f t="shared" si="1"/>
        <v/>
      </c>
      <c r="C127" s="4" t="str">
        <f>IF($D$3="","",IFERROR(VLOOKUP($G$3&amp;$B127,DataTable[],COLUMNS($B$4:C125),0),""))</f>
        <v/>
      </c>
      <c r="D127" s="4" t="str">
        <f>IF($D$3="","",IFERROR(VLOOKUP($G$3&amp;$B127,DataTable[],COLUMNS($B$4:D125),0),""))</f>
        <v/>
      </c>
      <c r="E127" s="4" t="str">
        <f>IF($D$3="","",IFERROR(VLOOKUP($G$3&amp;$B127,DataTable[],COLUMNS($B$4:E125),0),""))</f>
        <v/>
      </c>
      <c r="F127" s="4" t="str">
        <f>IF($D$3="","",IFERROR(VLOOKUP($G$3&amp;$B127,DataTable[],COLUMNS($B$4:F125),0),""))</f>
        <v/>
      </c>
      <c r="G127" s="4" t="str">
        <f>IF($D$3="","",IFERROR(VLOOKUP($G$3&amp;$B127,DataTable[],COLUMNS($B$4:G125),0),""))</f>
        <v/>
      </c>
      <c r="H127" s="7" t="str">
        <f>IF($D$3="","",IFERROR(VLOOKUP($G$3&amp;$B127,DataTable[],COLUMNS($B$4:H125),0),""))</f>
        <v/>
      </c>
      <c r="I127" s="7" t="str">
        <f>IF($D$3="","",IFERROR(VLOOKUP($G$3&amp;$B127,DataTable[],COLUMNS($B$4:I125),0),""))</f>
        <v/>
      </c>
    </row>
    <row r="128" spans="2:9">
      <c r="B128" s="6" t="str">
        <f t="shared" si="1"/>
        <v/>
      </c>
      <c r="C128" s="4" t="str">
        <f>IF($D$3="","",IFERROR(VLOOKUP($G$3&amp;$B128,DataTable[],COLUMNS($B$4:C126),0),""))</f>
        <v/>
      </c>
      <c r="D128" s="4" t="str">
        <f>IF($D$3="","",IFERROR(VLOOKUP($G$3&amp;$B128,DataTable[],COLUMNS($B$4:D126),0),""))</f>
        <v/>
      </c>
      <c r="E128" s="4" t="str">
        <f>IF($D$3="","",IFERROR(VLOOKUP($G$3&amp;$B128,DataTable[],COLUMNS($B$4:E126),0),""))</f>
        <v/>
      </c>
      <c r="F128" s="4" t="str">
        <f>IF($D$3="","",IFERROR(VLOOKUP($G$3&amp;$B128,DataTable[],COLUMNS($B$4:F126),0),""))</f>
        <v/>
      </c>
      <c r="G128" s="4" t="str">
        <f>IF($D$3="","",IFERROR(VLOOKUP($G$3&amp;$B128,DataTable[],COLUMNS($B$4:G126),0),""))</f>
        <v/>
      </c>
      <c r="H128" s="7" t="str">
        <f>IF($D$3="","",IFERROR(VLOOKUP($G$3&amp;$B128,DataTable[],COLUMNS($B$4:H126),0),""))</f>
        <v/>
      </c>
      <c r="I128" s="7" t="str">
        <f>IF($D$3="","",IFERROR(VLOOKUP($G$3&amp;$B128,DataTable[],COLUMNS($B$4:I126),0),""))</f>
        <v/>
      </c>
    </row>
    <row r="129" spans="2:9">
      <c r="B129" s="6" t="str">
        <f t="shared" si="1"/>
        <v/>
      </c>
      <c r="C129" s="4" t="str">
        <f>IF($D$3="","",IFERROR(VLOOKUP($G$3&amp;$B129,DataTable[],COLUMNS($B$4:C127),0),""))</f>
        <v/>
      </c>
      <c r="D129" s="4" t="str">
        <f>IF($D$3="","",IFERROR(VLOOKUP($G$3&amp;$B129,DataTable[],COLUMNS($B$4:D127),0),""))</f>
        <v/>
      </c>
      <c r="E129" s="4" t="str">
        <f>IF($D$3="","",IFERROR(VLOOKUP($G$3&amp;$B129,DataTable[],COLUMNS($B$4:E127),0),""))</f>
        <v/>
      </c>
      <c r="F129" s="4" t="str">
        <f>IF($D$3="","",IFERROR(VLOOKUP($G$3&amp;$B129,DataTable[],COLUMNS($B$4:F127),0),""))</f>
        <v/>
      </c>
      <c r="G129" s="4" t="str">
        <f>IF($D$3="","",IFERROR(VLOOKUP($G$3&amp;$B129,DataTable[],COLUMNS($B$4:G127),0),""))</f>
        <v/>
      </c>
      <c r="H129" s="7" t="str">
        <f>IF($D$3="","",IFERROR(VLOOKUP($G$3&amp;$B129,DataTable[],COLUMNS($B$4:H127),0),""))</f>
        <v/>
      </c>
      <c r="I129" s="7" t="str">
        <f>IF($D$3="","",IFERROR(VLOOKUP($G$3&amp;$B129,DataTable[],COLUMNS($B$4:I127),0),""))</f>
        <v/>
      </c>
    </row>
    <row r="130" spans="2:9">
      <c r="B130" s="6" t="str">
        <f t="shared" si="1"/>
        <v/>
      </c>
      <c r="C130" s="4" t="str">
        <f>IF($D$3="","",IFERROR(VLOOKUP($G$3&amp;$B130,DataTable[],COLUMNS($B$4:C128),0),""))</f>
        <v/>
      </c>
      <c r="D130" s="4" t="str">
        <f>IF($D$3="","",IFERROR(VLOOKUP($G$3&amp;$B130,DataTable[],COLUMNS($B$4:D128),0),""))</f>
        <v/>
      </c>
      <c r="E130" s="4" t="str">
        <f>IF($D$3="","",IFERROR(VLOOKUP($G$3&amp;$B130,DataTable[],COLUMNS($B$4:E128),0),""))</f>
        <v/>
      </c>
      <c r="F130" s="4" t="str">
        <f>IF($D$3="","",IFERROR(VLOOKUP($G$3&amp;$B130,DataTable[],COLUMNS($B$4:F128),0),""))</f>
        <v/>
      </c>
      <c r="G130" s="4" t="str">
        <f>IF($D$3="","",IFERROR(VLOOKUP($G$3&amp;$B130,DataTable[],COLUMNS($B$4:G128),0),""))</f>
        <v/>
      </c>
      <c r="H130" s="7" t="str">
        <f>IF($D$3="","",IFERROR(VLOOKUP($G$3&amp;$B130,DataTable[],COLUMNS($B$4:H128),0),""))</f>
        <v/>
      </c>
      <c r="I130" s="7" t="str">
        <f>IF($D$3="","",IFERROR(VLOOKUP($G$3&amp;$B130,DataTable[],COLUMNS($B$4:I128),0),""))</f>
        <v/>
      </c>
    </row>
    <row r="131" spans="2:9">
      <c r="B131" s="6" t="str">
        <f t="shared" si="1"/>
        <v/>
      </c>
      <c r="C131" s="4" t="str">
        <f>IF($D$3="","",IFERROR(VLOOKUP($G$3&amp;$B131,DataTable[],COLUMNS($B$4:C129),0),""))</f>
        <v/>
      </c>
      <c r="D131" s="4" t="str">
        <f>IF($D$3="","",IFERROR(VLOOKUP($G$3&amp;$B131,DataTable[],COLUMNS($B$4:D129),0),""))</f>
        <v/>
      </c>
      <c r="E131" s="4" t="str">
        <f>IF($D$3="","",IFERROR(VLOOKUP($G$3&amp;$B131,DataTable[],COLUMNS($B$4:E129),0),""))</f>
        <v/>
      </c>
      <c r="F131" s="4" t="str">
        <f>IF($D$3="","",IFERROR(VLOOKUP($G$3&amp;$B131,DataTable[],COLUMNS($B$4:F129),0),""))</f>
        <v/>
      </c>
      <c r="G131" s="4" t="str">
        <f>IF($D$3="","",IFERROR(VLOOKUP($G$3&amp;$B131,DataTable[],COLUMNS($B$4:G129),0),""))</f>
        <v/>
      </c>
      <c r="H131" s="7" t="str">
        <f>IF($D$3="","",IFERROR(VLOOKUP($G$3&amp;$B131,DataTable[],COLUMNS($B$4:H129),0),""))</f>
        <v/>
      </c>
      <c r="I131" s="7" t="str">
        <f>IF($D$3="","",IFERROR(VLOOKUP($G$3&amp;$B131,DataTable[],COLUMNS($B$4:I129),0),""))</f>
        <v/>
      </c>
    </row>
    <row r="132" spans="2:9">
      <c r="B132" s="6" t="str">
        <f t="shared" si="1"/>
        <v/>
      </c>
      <c r="C132" s="4" t="str">
        <f>IF($D$3="","",IFERROR(VLOOKUP($G$3&amp;$B132,DataTable[],COLUMNS($B$4:C130),0),""))</f>
        <v/>
      </c>
      <c r="D132" s="4" t="str">
        <f>IF($D$3="","",IFERROR(VLOOKUP($G$3&amp;$B132,DataTable[],COLUMNS($B$4:D130),0),""))</f>
        <v/>
      </c>
      <c r="E132" s="4" t="str">
        <f>IF($D$3="","",IFERROR(VLOOKUP($G$3&amp;$B132,DataTable[],COLUMNS($B$4:E130),0),""))</f>
        <v/>
      </c>
      <c r="F132" s="4" t="str">
        <f>IF($D$3="","",IFERROR(VLOOKUP($G$3&amp;$B132,DataTable[],COLUMNS($B$4:F130),0),""))</f>
        <v/>
      </c>
      <c r="G132" s="4" t="str">
        <f>IF($D$3="","",IFERROR(VLOOKUP($G$3&amp;$B132,DataTable[],COLUMNS($B$4:G130),0),""))</f>
        <v/>
      </c>
      <c r="H132" s="7" t="str">
        <f>IF($D$3="","",IFERROR(VLOOKUP($G$3&amp;$B132,DataTable[],COLUMNS($B$4:H130),0),""))</f>
        <v/>
      </c>
      <c r="I132" s="7" t="str">
        <f>IF($D$3="","",IFERROR(VLOOKUP($G$3&amp;$B132,DataTable[],COLUMNS($B$4:I130),0),""))</f>
        <v/>
      </c>
    </row>
    <row r="133" spans="2:9">
      <c r="B133" s="6" t="str">
        <f t="shared" si="1"/>
        <v/>
      </c>
      <c r="C133" s="4" t="str">
        <f>IF($D$3="","",IFERROR(VLOOKUP($G$3&amp;$B133,DataTable[],COLUMNS($B$4:C131),0),""))</f>
        <v/>
      </c>
      <c r="D133" s="4" t="str">
        <f>IF($D$3="","",IFERROR(VLOOKUP($G$3&amp;$B133,DataTable[],COLUMNS($B$4:D131),0),""))</f>
        <v/>
      </c>
      <c r="E133" s="4" t="str">
        <f>IF($D$3="","",IFERROR(VLOOKUP($G$3&amp;$B133,DataTable[],COLUMNS($B$4:E131),0),""))</f>
        <v/>
      </c>
      <c r="F133" s="4" t="str">
        <f>IF($D$3="","",IFERROR(VLOOKUP($G$3&amp;$B133,DataTable[],COLUMNS($B$4:F131),0),""))</f>
        <v/>
      </c>
      <c r="G133" s="4" t="str">
        <f>IF($D$3="","",IFERROR(VLOOKUP($G$3&amp;$B133,DataTable[],COLUMNS($B$4:G131),0),""))</f>
        <v/>
      </c>
      <c r="H133" s="7" t="str">
        <f>IF($D$3="","",IFERROR(VLOOKUP($G$3&amp;$B133,DataTable[],COLUMNS($B$4:H131),0),""))</f>
        <v/>
      </c>
      <c r="I133" s="7" t="str">
        <f>IF($D$3="","",IFERROR(VLOOKUP($G$3&amp;$B133,DataTable[],COLUMNS($B$4:I131),0),""))</f>
        <v/>
      </c>
    </row>
    <row r="134" spans="2:9">
      <c r="B134" s="6" t="str">
        <f t="shared" si="1"/>
        <v/>
      </c>
      <c r="C134" s="4" t="str">
        <f>IF($D$3="","",IFERROR(VLOOKUP($G$3&amp;$B134,DataTable[],COLUMNS($B$4:C132),0),""))</f>
        <v/>
      </c>
      <c r="D134" s="4" t="str">
        <f>IF($D$3="","",IFERROR(VLOOKUP($G$3&amp;$B134,DataTable[],COLUMNS($B$4:D132),0),""))</f>
        <v/>
      </c>
      <c r="E134" s="4" t="str">
        <f>IF($D$3="","",IFERROR(VLOOKUP($G$3&amp;$B134,DataTable[],COLUMNS($B$4:E132),0),""))</f>
        <v/>
      </c>
      <c r="F134" s="4" t="str">
        <f>IF($D$3="","",IFERROR(VLOOKUP($G$3&amp;$B134,DataTable[],COLUMNS($B$4:F132),0),""))</f>
        <v/>
      </c>
      <c r="G134" s="4" t="str">
        <f>IF($D$3="","",IFERROR(VLOOKUP($G$3&amp;$B134,DataTable[],COLUMNS($B$4:G132),0),""))</f>
        <v/>
      </c>
      <c r="H134" s="7" t="str">
        <f>IF($D$3="","",IFERROR(VLOOKUP($G$3&amp;$B134,DataTable[],COLUMNS($B$4:H132),0),""))</f>
        <v/>
      </c>
      <c r="I134" s="7" t="str">
        <f>IF($D$3="","",IFERROR(VLOOKUP($G$3&amp;$B134,DataTable[],COLUMNS($B$4:I132),0),""))</f>
        <v/>
      </c>
    </row>
    <row r="135" spans="2:9">
      <c r="B135" s="6" t="str">
        <f t="shared" ref="B135:B198" si="2">IF($D$3="","",IF($A$1&gt;=ROW()-ROW($B$5),ROW()-ROW($B$5),""))</f>
        <v/>
      </c>
      <c r="C135" s="4" t="str">
        <f>IF($D$3="","",IFERROR(VLOOKUP($G$3&amp;$B135,DataTable[],COLUMNS($B$4:C133),0),""))</f>
        <v/>
      </c>
      <c r="D135" s="4" t="str">
        <f>IF($D$3="","",IFERROR(VLOOKUP($G$3&amp;$B135,DataTable[],COLUMNS($B$4:D133),0),""))</f>
        <v/>
      </c>
      <c r="E135" s="4" t="str">
        <f>IF($D$3="","",IFERROR(VLOOKUP($G$3&amp;$B135,DataTable[],COLUMNS($B$4:E133),0),""))</f>
        <v/>
      </c>
      <c r="F135" s="4" t="str">
        <f>IF($D$3="","",IFERROR(VLOOKUP($G$3&amp;$B135,DataTable[],COLUMNS($B$4:F133),0),""))</f>
        <v/>
      </c>
      <c r="G135" s="4" t="str">
        <f>IF($D$3="","",IFERROR(VLOOKUP($G$3&amp;$B135,DataTable[],COLUMNS($B$4:G133),0),""))</f>
        <v/>
      </c>
      <c r="H135" s="7" t="str">
        <f>IF($D$3="","",IFERROR(VLOOKUP($G$3&amp;$B135,DataTable[],COLUMNS($B$4:H133),0),""))</f>
        <v/>
      </c>
      <c r="I135" s="7" t="str">
        <f>IF($D$3="","",IFERROR(VLOOKUP($G$3&amp;$B135,DataTable[],COLUMNS($B$4:I133),0),""))</f>
        <v/>
      </c>
    </row>
    <row r="136" spans="2:9">
      <c r="B136" s="6" t="str">
        <f t="shared" si="2"/>
        <v/>
      </c>
      <c r="C136" s="4" t="str">
        <f>IF($D$3="","",IFERROR(VLOOKUP($G$3&amp;$B136,DataTable[],COLUMNS($B$4:C134),0),""))</f>
        <v/>
      </c>
      <c r="D136" s="4" t="str">
        <f>IF($D$3="","",IFERROR(VLOOKUP($G$3&amp;$B136,DataTable[],COLUMNS($B$4:D134),0),""))</f>
        <v/>
      </c>
      <c r="E136" s="4" t="str">
        <f>IF($D$3="","",IFERROR(VLOOKUP($G$3&amp;$B136,DataTable[],COLUMNS($B$4:E134),0),""))</f>
        <v/>
      </c>
      <c r="F136" s="4" t="str">
        <f>IF($D$3="","",IFERROR(VLOOKUP($G$3&amp;$B136,DataTable[],COLUMNS($B$4:F134),0),""))</f>
        <v/>
      </c>
      <c r="G136" s="4" t="str">
        <f>IF($D$3="","",IFERROR(VLOOKUP($G$3&amp;$B136,DataTable[],COLUMNS($B$4:G134),0),""))</f>
        <v/>
      </c>
      <c r="H136" s="7" t="str">
        <f>IF($D$3="","",IFERROR(VLOOKUP($G$3&amp;$B136,DataTable[],COLUMNS($B$4:H134),0),""))</f>
        <v/>
      </c>
      <c r="I136" s="7" t="str">
        <f>IF($D$3="","",IFERROR(VLOOKUP($G$3&amp;$B136,DataTable[],COLUMNS($B$4:I134),0),""))</f>
        <v/>
      </c>
    </row>
    <row r="137" spans="2:9">
      <c r="B137" s="6" t="str">
        <f t="shared" si="2"/>
        <v/>
      </c>
      <c r="C137" s="4" t="str">
        <f>IF($D$3="","",IFERROR(VLOOKUP($G$3&amp;$B137,DataTable[],COLUMNS($B$4:C135),0),""))</f>
        <v/>
      </c>
      <c r="D137" s="4" t="str">
        <f>IF($D$3="","",IFERROR(VLOOKUP($G$3&amp;$B137,DataTable[],COLUMNS($B$4:D135),0),""))</f>
        <v/>
      </c>
      <c r="E137" s="4" t="str">
        <f>IF($D$3="","",IFERROR(VLOOKUP($G$3&amp;$B137,DataTable[],COLUMNS($B$4:E135),0),""))</f>
        <v/>
      </c>
      <c r="F137" s="4" t="str">
        <f>IF($D$3="","",IFERROR(VLOOKUP($G$3&amp;$B137,DataTable[],COLUMNS($B$4:F135),0),""))</f>
        <v/>
      </c>
      <c r="G137" s="4" t="str">
        <f>IF($D$3="","",IFERROR(VLOOKUP($G$3&amp;$B137,DataTable[],COLUMNS($B$4:G135),0),""))</f>
        <v/>
      </c>
      <c r="H137" s="7" t="str">
        <f>IF($D$3="","",IFERROR(VLOOKUP($G$3&amp;$B137,DataTable[],COLUMNS($B$4:H135),0),""))</f>
        <v/>
      </c>
      <c r="I137" s="7" t="str">
        <f>IF($D$3="","",IFERROR(VLOOKUP($G$3&amp;$B137,DataTable[],COLUMNS($B$4:I135),0),""))</f>
        <v/>
      </c>
    </row>
    <row r="138" spans="2:9">
      <c r="B138" s="6" t="str">
        <f t="shared" si="2"/>
        <v/>
      </c>
      <c r="C138" s="4" t="str">
        <f>IF($D$3="","",IFERROR(VLOOKUP($G$3&amp;$B138,DataTable[],COLUMNS($B$4:C136),0),""))</f>
        <v/>
      </c>
      <c r="D138" s="4" t="str">
        <f>IF($D$3="","",IFERROR(VLOOKUP($G$3&amp;$B138,DataTable[],COLUMNS($B$4:D136),0),""))</f>
        <v/>
      </c>
      <c r="E138" s="4" t="str">
        <f>IF($D$3="","",IFERROR(VLOOKUP($G$3&amp;$B138,DataTable[],COLUMNS($B$4:E136),0),""))</f>
        <v/>
      </c>
      <c r="F138" s="4" t="str">
        <f>IF($D$3="","",IFERROR(VLOOKUP($G$3&amp;$B138,DataTable[],COLUMNS($B$4:F136),0),""))</f>
        <v/>
      </c>
      <c r="G138" s="4" t="str">
        <f>IF($D$3="","",IFERROR(VLOOKUP($G$3&amp;$B138,DataTable[],COLUMNS($B$4:G136),0),""))</f>
        <v/>
      </c>
      <c r="H138" s="7" t="str">
        <f>IF($D$3="","",IFERROR(VLOOKUP($G$3&amp;$B138,DataTable[],COLUMNS($B$4:H136),0),""))</f>
        <v/>
      </c>
      <c r="I138" s="7" t="str">
        <f>IF($D$3="","",IFERROR(VLOOKUP($G$3&amp;$B138,DataTable[],COLUMNS($B$4:I136),0),""))</f>
        <v/>
      </c>
    </row>
    <row r="139" spans="2:9">
      <c r="B139" s="6" t="str">
        <f t="shared" si="2"/>
        <v/>
      </c>
      <c r="C139" s="4" t="str">
        <f>IF($D$3="","",IFERROR(VLOOKUP($G$3&amp;$B139,DataTable[],COLUMNS($B$4:C137),0),""))</f>
        <v/>
      </c>
      <c r="D139" s="4" t="str">
        <f>IF($D$3="","",IFERROR(VLOOKUP($G$3&amp;$B139,DataTable[],COLUMNS($B$4:D137),0),""))</f>
        <v/>
      </c>
      <c r="E139" s="4" t="str">
        <f>IF($D$3="","",IFERROR(VLOOKUP($G$3&amp;$B139,DataTable[],COLUMNS($B$4:E137),0),""))</f>
        <v/>
      </c>
      <c r="F139" s="4" t="str">
        <f>IF($D$3="","",IFERROR(VLOOKUP($G$3&amp;$B139,DataTable[],COLUMNS($B$4:F137),0),""))</f>
        <v/>
      </c>
      <c r="G139" s="4" t="str">
        <f>IF($D$3="","",IFERROR(VLOOKUP($G$3&amp;$B139,DataTable[],COLUMNS($B$4:G137),0),""))</f>
        <v/>
      </c>
      <c r="H139" s="7" t="str">
        <f>IF($D$3="","",IFERROR(VLOOKUP($G$3&amp;$B139,DataTable[],COLUMNS($B$4:H137),0),""))</f>
        <v/>
      </c>
      <c r="I139" s="7" t="str">
        <f>IF($D$3="","",IFERROR(VLOOKUP($G$3&amp;$B139,DataTable[],COLUMNS($B$4:I137),0),""))</f>
        <v/>
      </c>
    </row>
    <row r="140" spans="2:9">
      <c r="B140" s="6" t="str">
        <f t="shared" si="2"/>
        <v/>
      </c>
      <c r="C140" s="4" t="str">
        <f>IF($D$3="","",IFERROR(VLOOKUP($G$3&amp;$B140,DataTable[],COLUMNS($B$4:C138),0),""))</f>
        <v/>
      </c>
      <c r="D140" s="4" t="str">
        <f>IF($D$3="","",IFERROR(VLOOKUP($G$3&amp;$B140,DataTable[],COLUMNS($B$4:D138),0),""))</f>
        <v/>
      </c>
      <c r="E140" s="4" t="str">
        <f>IF($D$3="","",IFERROR(VLOOKUP($G$3&amp;$B140,DataTable[],COLUMNS($B$4:E138),0),""))</f>
        <v/>
      </c>
      <c r="F140" s="4" t="str">
        <f>IF($D$3="","",IFERROR(VLOOKUP($G$3&amp;$B140,DataTable[],COLUMNS($B$4:F138),0),""))</f>
        <v/>
      </c>
      <c r="G140" s="4" t="str">
        <f>IF($D$3="","",IFERROR(VLOOKUP($G$3&amp;$B140,DataTable[],COLUMNS($B$4:G138),0),""))</f>
        <v/>
      </c>
      <c r="H140" s="7" t="str">
        <f>IF($D$3="","",IFERROR(VLOOKUP($G$3&amp;$B140,DataTable[],COLUMNS($B$4:H138),0),""))</f>
        <v/>
      </c>
      <c r="I140" s="7" t="str">
        <f>IF($D$3="","",IFERROR(VLOOKUP($G$3&amp;$B140,DataTable[],COLUMNS($B$4:I138),0),""))</f>
        <v/>
      </c>
    </row>
    <row r="141" spans="2:9">
      <c r="B141" s="6" t="str">
        <f t="shared" si="2"/>
        <v/>
      </c>
      <c r="C141" s="4" t="str">
        <f>IF($D$3="","",IFERROR(VLOOKUP($G$3&amp;$B141,DataTable[],COLUMNS($B$4:C139),0),""))</f>
        <v/>
      </c>
      <c r="D141" s="4" t="str">
        <f>IF($D$3="","",IFERROR(VLOOKUP($G$3&amp;$B141,DataTable[],COLUMNS($B$4:D139),0),""))</f>
        <v/>
      </c>
      <c r="E141" s="4" t="str">
        <f>IF($D$3="","",IFERROR(VLOOKUP($G$3&amp;$B141,DataTable[],COLUMNS($B$4:E139),0),""))</f>
        <v/>
      </c>
      <c r="F141" s="4" t="str">
        <f>IF($D$3="","",IFERROR(VLOOKUP($G$3&amp;$B141,DataTable[],COLUMNS($B$4:F139),0),""))</f>
        <v/>
      </c>
      <c r="G141" s="4" t="str">
        <f>IF($D$3="","",IFERROR(VLOOKUP($G$3&amp;$B141,DataTable[],COLUMNS($B$4:G139),0),""))</f>
        <v/>
      </c>
      <c r="H141" s="7" t="str">
        <f>IF($D$3="","",IFERROR(VLOOKUP($G$3&amp;$B141,DataTable[],COLUMNS($B$4:H139),0),""))</f>
        <v/>
      </c>
      <c r="I141" s="7" t="str">
        <f>IF($D$3="","",IFERROR(VLOOKUP($G$3&amp;$B141,DataTable[],COLUMNS($B$4:I139),0),""))</f>
        <v/>
      </c>
    </row>
    <row r="142" spans="2:9">
      <c r="B142" s="6" t="str">
        <f t="shared" si="2"/>
        <v/>
      </c>
      <c r="C142" s="4" t="str">
        <f>IF($D$3="","",IFERROR(VLOOKUP($G$3&amp;$B142,DataTable[],COLUMNS($B$4:C140),0),""))</f>
        <v/>
      </c>
      <c r="D142" s="4" t="str">
        <f>IF($D$3="","",IFERROR(VLOOKUP($G$3&amp;$B142,DataTable[],COLUMNS($B$4:D140),0),""))</f>
        <v/>
      </c>
      <c r="E142" s="4" t="str">
        <f>IF($D$3="","",IFERROR(VLOOKUP($G$3&amp;$B142,DataTable[],COLUMNS($B$4:E140),0),""))</f>
        <v/>
      </c>
      <c r="F142" s="4" t="str">
        <f>IF($D$3="","",IFERROR(VLOOKUP($G$3&amp;$B142,DataTable[],COLUMNS($B$4:F140),0),""))</f>
        <v/>
      </c>
      <c r="G142" s="4" t="str">
        <f>IF($D$3="","",IFERROR(VLOOKUP($G$3&amp;$B142,DataTable[],COLUMNS($B$4:G140),0),""))</f>
        <v/>
      </c>
      <c r="H142" s="7" t="str">
        <f>IF($D$3="","",IFERROR(VLOOKUP($G$3&amp;$B142,DataTable[],COLUMNS($B$4:H140),0),""))</f>
        <v/>
      </c>
      <c r="I142" s="7" t="str">
        <f>IF($D$3="","",IFERROR(VLOOKUP($G$3&amp;$B142,DataTable[],COLUMNS($B$4:I140),0),""))</f>
        <v/>
      </c>
    </row>
    <row r="143" spans="2:9">
      <c r="B143" s="6" t="str">
        <f t="shared" si="2"/>
        <v/>
      </c>
      <c r="C143" s="4" t="str">
        <f>IF($D$3="","",IFERROR(VLOOKUP($G$3&amp;$B143,DataTable[],COLUMNS($B$4:C141),0),""))</f>
        <v/>
      </c>
      <c r="D143" s="4" t="str">
        <f>IF($D$3="","",IFERROR(VLOOKUP($G$3&amp;$B143,DataTable[],COLUMNS($B$4:D141),0),""))</f>
        <v/>
      </c>
      <c r="E143" s="4" t="str">
        <f>IF($D$3="","",IFERROR(VLOOKUP($G$3&amp;$B143,DataTable[],COLUMNS($B$4:E141),0),""))</f>
        <v/>
      </c>
      <c r="F143" s="4" t="str">
        <f>IF($D$3="","",IFERROR(VLOOKUP($G$3&amp;$B143,DataTable[],COLUMNS($B$4:F141),0),""))</f>
        <v/>
      </c>
      <c r="G143" s="4" t="str">
        <f>IF($D$3="","",IFERROR(VLOOKUP($G$3&amp;$B143,DataTable[],COLUMNS($B$4:G141),0),""))</f>
        <v/>
      </c>
      <c r="H143" s="7" t="str">
        <f>IF($D$3="","",IFERROR(VLOOKUP($G$3&amp;$B143,DataTable[],COLUMNS($B$4:H141),0),""))</f>
        <v/>
      </c>
      <c r="I143" s="7" t="str">
        <f>IF($D$3="","",IFERROR(VLOOKUP($G$3&amp;$B143,DataTable[],COLUMNS($B$4:I141),0),""))</f>
        <v/>
      </c>
    </row>
    <row r="144" spans="2:9">
      <c r="B144" s="6" t="str">
        <f t="shared" si="2"/>
        <v/>
      </c>
      <c r="C144" s="4" t="str">
        <f>IF($D$3="","",IFERROR(VLOOKUP($G$3&amp;$B144,DataTable[],COLUMNS($B$4:C142),0),""))</f>
        <v/>
      </c>
      <c r="D144" s="4" t="str">
        <f>IF($D$3="","",IFERROR(VLOOKUP($G$3&amp;$B144,DataTable[],COLUMNS($B$4:D142),0),""))</f>
        <v/>
      </c>
      <c r="E144" s="4" t="str">
        <f>IF($D$3="","",IFERROR(VLOOKUP($G$3&amp;$B144,DataTable[],COLUMNS($B$4:E142),0),""))</f>
        <v/>
      </c>
      <c r="F144" s="4" t="str">
        <f>IF($D$3="","",IFERROR(VLOOKUP($G$3&amp;$B144,DataTable[],COLUMNS($B$4:F142),0),""))</f>
        <v/>
      </c>
      <c r="G144" s="4" t="str">
        <f>IF($D$3="","",IFERROR(VLOOKUP($G$3&amp;$B144,DataTable[],COLUMNS($B$4:G142),0),""))</f>
        <v/>
      </c>
      <c r="H144" s="7" t="str">
        <f>IF($D$3="","",IFERROR(VLOOKUP($G$3&amp;$B144,DataTable[],COLUMNS($B$4:H142),0),""))</f>
        <v/>
      </c>
      <c r="I144" s="7" t="str">
        <f>IF($D$3="","",IFERROR(VLOOKUP($G$3&amp;$B144,DataTable[],COLUMNS($B$4:I142),0),""))</f>
        <v/>
      </c>
    </row>
    <row r="145" spans="2:9">
      <c r="B145" s="6" t="str">
        <f t="shared" si="2"/>
        <v/>
      </c>
      <c r="C145" s="4" t="str">
        <f>IF($D$3="","",IFERROR(VLOOKUP($G$3&amp;$B145,DataTable[],COLUMNS($B$4:C143),0),""))</f>
        <v/>
      </c>
      <c r="D145" s="4" t="str">
        <f>IF($D$3="","",IFERROR(VLOOKUP($G$3&amp;$B145,DataTable[],COLUMNS($B$4:D143),0),""))</f>
        <v/>
      </c>
      <c r="E145" s="4" t="str">
        <f>IF($D$3="","",IFERROR(VLOOKUP($G$3&amp;$B145,DataTable[],COLUMNS($B$4:E143),0),""))</f>
        <v/>
      </c>
      <c r="F145" s="4" t="str">
        <f>IF($D$3="","",IFERROR(VLOOKUP($G$3&amp;$B145,DataTable[],COLUMNS($B$4:F143),0),""))</f>
        <v/>
      </c>
      <c r="G145" s="4" t="str">
        <f>IF($D$3="","",IFERROR(VLOOKUP($G$3&amp;$B145,DataTable[],COLUMNS($B$4:G143),0),""))</f>
        <v/>
      </c>
      <c r="H145" s="7" t="str">
        <f>IF($D$3="","",IFERROR(VLOOKUP($G$3&amp;$B145,DataTable[],COLUMNS($B$4:H143),0),""))</f>
        <v/>
      </c>
      <c r="I145" s="7" t="str">
        <f>IF($D$3="","",IFERROR(VLOOKUP($G$3&amp;$B145,DataTable[],COLUMNS($B$4:I143),0),""))</f>
        <v/>
      </c>
    </row>
    <row r="146" spans="2:9">
      <c r="B146" s="6" t="str">
        <f t="shared" si="2"/>
        <v/>
      </c>
      <c r="C146" s="4" t="str">
        <f>IF($D$3="","",IFERROR(VLOOKUP($G$3&amp;$B146,DataTable[],COLUMNS($B$4:C144),0),""))</f>
        <v/>
      </c>
      <c r="D146" s="4" t="str">
        <f>IF($D$3="","",IFERROR(VLOOKUP($G$3&amp;$B146,DataTable[],COLUMNS($B$4:D144),0),""))</f>
        <v/>
      </c>
      <c r="E146" s="4" t="str">
        <f>IF($D$3="","",IFERROR(VLOOKUP($G$3&amp;$B146,DataTable[],COLUMNS($B$4:E144),0),""))</f>
        <v/>
      </c>
      <c r="F146" s="4" t="str">
        <f>IF($D$3="","",IFERROR(VLOOKUP($G$3&amp;$B146,DataTable[],COLUMNS($B$4:F144),0),""))</f>
        <v/>
      </c>
      <c r="G146" s="4" t="str">
        <f>IF($D$3="","",IFERROR(VLOOKUP($G$3&amp;$B146,DataTable[],COLUMNS($B$4:G144),0),""))</f>
        <v/>
      </c>
      <c r="H146" s="7" t="str">
        <f>IF($D$3="","",IFERROR(VLOOKUP($G$3&amp;$B146,DataTable[],COLUMNS($B$4:H144),0),""))</f>
        <v/>
      </c>
      <c r="I146" s="7" t="str">
        <f>IF($D$3="","",IFERROR(VLOOKUP($G$3&amp;$B146,DataTable[],COLUMNS($B$4:I144),0),""))</f>
        <v/>
      </c>
    </row>
    <row r="147" spans="2:9">
      <c r="B147" s="6" t="str">
        <f t="shared" si="2"/>
        <v/>
      </c>
      <c r="C147" s="4" t="str">
        <f>IF($D$3="","",IFERROR(VLOOKUP($G$3&amp;$B147,DataTable[],COLUMNS($B$4:C145),0),""))</f>
        <v/>
      </c>
      <c r="D147" s="4" t="str">
        <f>IF($D$3="","",IFERROR(VLOOKUP($G$3&amp;$B147,DataTable[],COLUMNS($B$4:D145),0),""))</f>
        <v/>
      </c>
      <c r="E147" s="4" t="str">
        <f>IF($D$3="","",IFERROR(VLOOKUP($G$3&amp;$B147,DataTable[],COLUMNS($B$4:E145),0),""))</f>
        <v/>
      </c>
      <c r="F147" s="4" t="str">
        <f>IF($D$3="","",IFERROR(VLOOKUP($G$3&amp;$B147,DataTable[],COLUMNS($B$4:F145),0),""))</f>
        <v/>
      </c>
      <c r="G147" s="4" t="str">
        <f>IF($D$3="","",IFERROR(VLOOKUP($G$3&amp;$B147,DataTable[],COLUMNS($B$4:G145),0),""))</f>
        <v/>
      </c>
      <c r="H147" s="7" t="str">
        <f>IF($D$3="","",IFERROR(VLOOKUP($G$3&amp;$B147,DataTable[],COLUMNS($B$4:H145),0),""))</f>
        <v/>
      </c>
      <c r="I147" s="7" t="str">
        <f>IF($D$3="","",IFERROR(VLOOKUP($G$3&amp;$B147,DataTable[],COLUMNS($B$4:I145),0),""))</f>
        <v/>
      </c>
    </row>
    <row r="148" spans="2:9">
      <c r="B148" s="6" t="str">
        <f t="shared" si="2"/>
        <v/>
      </c>
      <c r="C148" s="4" t="str">
        <f>IF($D$3="","",IFERROR(VLOOKUP($G$3&amp;$B148,DataTable[],COLUMNS($B$4:C146),0),""))</f>
        <v/>
      </c>
      <c r="D148" s="4" t="str">
        <f>IF($D$3="","",IFERROR(VLOOKUP($G$3&amp;$B148,DataTable[],COLUMNS($B$4:D146),0),""))</f>
        <v/>
      </c>
      <c r="E148" s="4" t="str">
        <f>IF($D$3="","",IFERROR(VLOOKUP($G$3&amp;$B148,DataTable[],COLUMNS($B$4:E146),0),""))</f>
        <v/>
      </c>
      <c r="F148" s="4" t="str">
        <f>IF($D$3="","",IFERROR(VLOOKUP($G$3&amp;$B148,DataTable[],COLUMNS($B$4:F146),0),""))</f>
        <v/>
      </c>
      <c r="G148" s="4" t="str">
        <f>IF($D$3="","",IFERROR(VLOOKUP($G$3&amp;$B148,DataTable[],COLUMNS($B$4:G146),0),""))</f>
        <v/>
      </c>
      <c r="H148" s="7" t="str">
        <f>IF($D$3="","",IFERROR(VLOOKUP($G$3&amp;$B148,DataTable[],COLUMNS($B$4:H146),0),""))</f>
        <v/>
      </c>
      <c r="I148" s="7" t="str">
        <f>IF($D$3="","",IFERROR(VLOOKUP($G$3&amp;$B148,DataTable[],COLUMNS($B$4:I146),0),""))</f>
        <v/>
      </c>
    </row>
    <row r="149" spans="2:9">
      <c r="B149" s="6" t="str">
        <f t="shared" si="2"/>
        <v/>
      </c>
      <c r="C149" s="4" t="str">
        <f>IF($D$3="","",IFERROR(VLOOKUP($G$3&amp;$B149,DataTable[],COLUMNS($B$4:C147),0),""))</f>
        <v/>
      </c>
      <c r="D149" s="4" t="str">
        <f>IF($D$3="","",IFERROR(VLOOKUP($G$3&amp;$B149,DataTable[],COLUMNS($B$4:D147),0),""))</f>
        <v/>
      </c>
      <c r="E149" s="4" t="str">
        <f>IF($D$3="","",IFERROR(VLOOKUP($G$3&amp;$B149,DataTable[],COLUMNS($B$4:E147),0),""))</f>
        <v/>
      </c>
      <c r="F149" s="4" t="str">
        <f>IF($D$3="","",IFERROR(VLOOKUP($G$3&amp;$B149,DataTable[],COLUMNS($B$4:F147),0),""))</f>
        <v/>
      </c>
      <c r="G149" s="4" t="str">
        <f>IF($D$3="","",IFERROR(VLOOKUP($G$3&amp;$B149,DataTable[],COLUMNS($B$4:G147),0),""))</f>
        <v/>
      </c>
      <c r="H149" s="7" t="str">
        <f>IF($D$3="","",IFERROR(VLOOKUP($G$3&amp;$B149,DataTable[],COLUMNS($B$4:H147),0),""))</f>
        <v/>
      </c>
      <c r="I149" s="7" t="str">
        <f>IF($D$3="","",IFERROR(VLOOKUP($G$3&amp;$B149,DataTable[],COLUMNS($B$4:I147),0),""))</f>
        <v/>
      </c>
    </row>
    <row r="150" spans="2:9">
      <c r="B150" s="6" t="str">
        <f t="shared" si="2"/>
        <v/>
      </c>
      <c r="C150" s="4" t="str">
        <f>IF($D$3="","",IFERROR(VLOOKUP($G$3&amp;$B150,DataTable[],COLUMNS($B$4:C148),0),""))</f>
        <v/>
      </c>
      <c r="D150" s="4" t="str">
        <f>IF($D$3="","",IFERROR(VLOOKUP($G$3&amp;$B150,DataTable[],COLUMNS($B$4:D148),0),""))</f>
        <v/>
      </c>
      <c r="E150" s="4" t="str">
        <f>IF($D$3="","",IFERROR(VLOOKUP($G$3&amp;$B150,DataTable[],COLUMNS($B$4:E148),0),""))</f>
        <v/>
      </c>
      <c r="F150" s="4" t="str">
        <f>IF($D$3="","",IFERROR(VLOOKUP($G$3&amp;$B150,DataTable[],COLUMNS($B$4:F148),0),""))</f>
        <v/>
      </c>
      <c r="G150" s="4" t="str">
        <f>IF($D$3="","",IFERROR(VLOOKUP($G$3&amp;$B150,DataTable[],COLUMNS($B$4:G148),0),""))</f>
        <v/>
      </c>
      <c r="H150" s="7" t="str">
        <f>IF($D$3="","",IFERROR(VLOOKUP($G$3&amp;$B150,DataTable[],COLUMNS($B$4:H148),0),""))</f>
        <v/>
      </c>
      <c r="I150" s="7" t="str">
        <f>IF($D$3="","",IFERROR(VLOOKUP($G$3&amp;$B150,DataTable[],COLUMNS($B$4:I148),0),""))</f>
        <v/>
      </c>
    </row>
    <row r="151" spans="2:9">
      <c r="B151" s="6" t="str">
        <f t="shared" si="2"/>
        <v/>
      </c>
      <c r="C151" s="4" t="str">
        <f>IF($D$3="","",IFERROR(VLOOKUP($G$3&amp;$B151,DataTable[],COLUMNS($B$4:C149),0),""))</f>
        <v/>
      </c>
      <c r="D151" s="4" t="str">
        <f>IF($D$3="","",IFERROR(VLOOKUP($G$3&amp;$B151,DataTable[],COLUMNS($B$4:D149),0),""))</f>
        <v/>
      </c>
      <c r="E151" s="4" t="str">
        <f>IF($D$3="","",IFERROR(VLOOKUP($G$3&amp;$B151,DataTable[],COLUMNS($B$4:E149),0),""))</f>
        <v/>
      </c>
      <c r="F151" s="4" t="str">
        <f>IF($D$3="","",IFERROR(VLOOKUP($G$3&amp;$B151,DataTable[],COLUMNS($B$4:F149),0),""))</f>
        <v/>
      </c>
      <c r="G151" s="4" t="str">
        <f>IF($D$3="","",IFERROR(VLOOKUP($G$3&amp;$B151,DataTable[],COLUMNS($B$4:G149),0),""))</f>
        <v/>
      </c>
      <c r="H151" s="7" t="str">
        <f>IF($D$3="","",IFERROR(VLOOKUP($G$3&amp;$B151,DataTable[],COLUMNS($B$4:H149),0),""))</f>
        <v/>
      </c>
      <c r="I151" s="7" t="str">
        <f>IF($D$3="","",IFERROR(VLOOKUP($G$3&amp;$B151,DataTable[],COLUMNS($B$4:I149),0),""))</f>
        <v/>
      </c>
    </row>
    <row r="152" spans="2:9">
      <c r="B152" s="6" t="str">
        <f t="shared" si="2"/>
        <v/>
      </c>
      <c r="C152" s="4" t="str">
        <f>IF($D$3="","",IFERROR(VLOOKUP($G$3&amp;$B152,DataTable[],COLUMNS($B$4:C150),0),""))</f>
        <v/>
      </c>
      <c r="D152" s="4" t="str">
        <f>IF($D$3="","",IFERROR(VLOOKUP($G$3&amp;$B152,DataTable[],COLUMNS($B$4:D150),0),""))</f>
        <v/>
      </c>
      <c r="E152" s="4" t="str">
        <f>IF($D$3="","",IFERROR(VLOOKUP($G$3&amp;$B152,DataTable[],COLUMNS($B$4:E150),0),""))</f>
        <v/>
      </c>
      <c r="F152" s="4" t="str">
        <f>IF($D$3="","",IFERROR(VLOOKUP($G$3&amp;$B152,DataTable[],COLUMNS($B$4:F150),0),""))</f>
        <v/>
      </c>
      <c r="G152" s="4" t="str">
        <f>IF($D$3="","",IFERROR(VLOOKUP($G$3&amp;$B152,DataTable[],COLUMNS($B$4:G150),0),""))</f>
        <v/>
      </c>
      <c r="H152" s="7" t="str">
        <f>IF($D$3="","",IFERROR(VLOOKUP($G$3&amp;$B152,DataTable[],COLUMNS($B$4:H150),0),""))</f>
        <v/>
      </c>
      <c r="I152" s="7" t="str">
        <f>IF($D$3="","",IFERROR(VLOOKUP($G$3&amp;$B152,DataTable[],COLUMNS($B$4:I150),0),""))</f>
        <v/>
      </c>
    </row>
    <row r="153" spans="2:9">
      <c r="B153" s="6" t="str">
        <f t="shared" si="2"/>
        <v/>
      </c>
    </row>
    <row r="154" spans="2:9">
      <c r="B154" s="6" t="str">
        <f t="shared" si="2"/>
        <v/>
      </c>
    </row>
    <row r="155" spans="2:9">
      <c r="B155" s="6" t="str">
        <f t="shared" si="2"/>
        <v/>
      </c>
    </row>
    <row r="156" spans="2:9">
      <c r="B156" s="6" t="str">
        <f t="shared" si="2"/>
        <v/>
      </c>
    </row>
    <row r="157" spans="2:9">
      <c r="B157" s="6" t="str">
        <f t="shared" si="2"/>
        <v/>
      </c>
    </row>
    <row r="158" spans="2:9">
      <c r="B158" s="6" t="str">
        <f t="shared" si="2"/>
        <v/>
      </c>
    </row>
    <row r="159" spans="2:9">
      <c r="B159" s="6" t="str">
        <f t="shared" si="2"/>
        <v/>
      </c>
    </row>
    <row r="160" spans="2:9">
      <c r="B160" s="6" t="str">
        <f t="shared" si="2"/>
        <v/>
      </c>
    </row>
    <row r="161" spans="2:2">
      <c r="B161" s="6" t="str">
        <f t="shared" si="2"/>
        <v/>
      </c>
    </row>
    <row r="162" spans="2:2">
      <c r="B162" s="6" t="str">
        <f t="shared" si="2"/>
        <v/>
      </c>
    </row>
    <row r="163" spans="2:2">
      <c r="B163" s="6" t="str">
        <f t="shared" si="2"/>
        <v/>
      </c>
    </row>
    <row r="164" spans="2:2">
      <c r="B164" s="6" t="str">
        <f t="shared" si="2"/>
        <v/>
      </c>
    </row>
    <row r="165" spans="2:2">
      <c r="B165" s="6" t="str">
        <f t="shared" si="2"/>
        <v/>
      </c>
    </row>
    <row r="166" spans="2:2">
      <c r="B166" s="6" t="str">
        <f t="shared" si="2"/>
        <v/>
      </c>
    </row>
    <row r="167" spans="2:2">
      <c r="B167" s="6" t="str">
        <f t="shared" si="2"/>
        <v/>
      </c>
    </row>
    <row r="168" spans="2:2">
      <c r="B168" s="6" t="str">
        <f t="shared" si="2"/>
        <v/>
      </c>
    </row>
    <row r="169" spans="2:2">
      <c r="B169" s="6" t="str">
        <f t="shared" si="2"/>
        <v/>
      </c>
    </row>
    <row r="170" spans="2:2">
      <c r="B170" s="6" t="str">
        <f t="shared" si="2"/>
        <v/>
      </c>
    </row>
    <row r="171" spans="2:2">
      <c r="B171" s="6" t="str">
        <f t="shared" si="2"/>
        <v/>
      </c>
    </row>
    <row r="172" spans="2:2">
      <c r="B172" s="6" t="str">
        <f t="shared" si="2"/>
        <v/>
      </c>
    </row>
    <row r="173" spans="2:2">
      <c r="B173" s="6" t="str">
        <f t="shared" si="2"/>
        <v/>
      </c>
    </row>
    <row r="174" spans="2:2">
      <c r="B174" s="6" t="str">
        <f t="shared" si="2"/>
        <v/>
      </c>
    </row>
    <row r="175" spans="2:2">
      <c r="B175" s="6" t="str">
        <f t="shared" si="2"/>
        <v/>
      </c>
    </row>
    <row r="176" spans="2:2">
      <c r="B176" s="6" t="str">
        <f t="shared" si="2"/>
        <v/>
      </c>
    </row>
    <row r="177" spans="2:2">
      <c r="B177" s="6" t="str">
        <f t="shared" si="2"/>
        <v/>
      </c>
    </row>
    <row r="178" spans="2:2">
      <c r="B178" s="6" t="str">
        <f t="shared" si="2"/>
        <v/>
      </c>
    </row>
    <row r="179" spans="2:2">
      <c r="B179" s="6" t="str">
        <f t="shared" si="2"/>
        <v/>
      </c>
    </row>
    <row r="180" spans="2:2">
      <c r="B180" s="6" t="str">
        <f t="shared" si="2"/>
        <v/>
      </c>
    </row>
    <row r="181" spans="2:2">
      <c r="B181" s="6" t="str">
        <f t="shared" si="2"/>
        <v/>
      </c>
    </row>
    <row r="182" spans="2:2">
      <c r="B182" s="6" t="str">
        <f t="shared" si="2"/>
        <v/>
      </c>
    </row>
    <row r="183" spans="2:2">
      <c r="B183" s="6" t="str">
        <f t="shared" si="2"/>
        <v/>
      </c>
    </row>
    <row r="184" spans="2:2">
      <c r="B184" s="6" t="str">
        <f t="shared" si="2"/>
        <v/>
      </c>
    </row>
    <row r="185" spans="2:2">
      <c r="B185" s="6" t="str">
        <f t="shared" si="2"/>
        <v/>
      </c>
    </row>
    <row r="186" spans="2:2">
      <c r="B186" s="6" t="str">
        <f t="shared" si="2"/>
        <v/>
      </c>
    </row>
    <row r="187" spans="2:2">
      <c r="B187" s="6" t="str">
        <f t="shared" si="2"/>
        <v/>
      </c>
    </row>
    <row r="188" spans="2:2">
      <c r="B188" s="6" t="str">
        <f t="shared" si="2"/>
        <v/>
      </c>
    </row>
    <row r="189" spans="2:2">
      <c r="B189" s="6" t="str">
        <f t="shared" si="2"/>
        <v/>
      </c>
    </row>
    <row r="190" spans="2:2">
      <c r="B190" s="6" t="str">
        <f t="shared" si="2"/>
        <v/>
      </c>
    </row>
    <row r="191" spans="2:2">
      <c r="B191" s="6" t="str">
        <f t="shared" si="2"/>
        <v/>
      </c>
    </row>
    <row r="192" spans="2:2">
      <c r="B192" s="6" t="str">
        <f t="shared" si="2"/>
        <v/>
      </c>
    </row>
    <row r="193" spans="2:2">
      <c r="B193" s="6" t="str">
        <f t="shared" si="2"/>
        <v/>
      </c>
    </row>
    <row r="194" spans="2:2">
      <c r="B194" s="6" t="str">
        <f t="shared" si="2"/>
        <v/>
      </c>
    </row>
    <row r="195" spans="2:2">
      <c r="B195" s="6" t="str">
        <f t="shared" si="2"/>
        <v/>
      </c>
    </row>
    <row r="196" spans="2:2">
      <c r="B196" s="6" t="str">
        <f t="shared" si="2"/>
        <v/>
      </c>
    </row>
    <row r="197" spans="2:2">
      <c r="B197" s="6" t="str">
        <f t="shared" si="2"/>
        <v/>
      </c>
    </row>
    <row r="198" spans="2:2">
      <c r="B198" s="6" t="str">
        <f t="shared" si="2"/>
        <v/>
      </c>
    </row>
    <row r="199" spans="2:2">
      <c r="B199" s="6" t="str">
        <f t="shared" ref="B199" si="3">IF($D$3="","",IF($A$1&gt;=ROW()-ROW($B$5),ROW()-ROW($B$5),""))</f>
        <v/>
      </c>
    </row>
  </sheetData>
  <mergeCells count="2">
    <mergeCell ref="D3:F3"/>
    <mergeCell ref="B1:I1"/>
  </mergeCells>
  <conditionalFormatting sqref="B6:I6 C7:I152 B7:B199">
    <cfRule type="notContainsBlanks" dxfId="9" priority="1">
      <formula>LEN(TRIM(B6))&gt;0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6" r:id="rId3" name="TextBox1">
          <controlPr defaultSize="0" autoLine="0" autoPict="0" linkedCell="D3" r:id="rId4">
            <anchor moveWithCells="1">
              <from>
                <xdr:col>2</xdr:col>
                <xdr:colOff>1076325</xdr:colOff>
                <xdr:row>2</xdr:row>
                <xdr:rowOff>133350</xdr:rowOff>
              </from>
              <to>
                <xdr:col>6</xdr:col>
                <xdr:colOff>76200</xdr:colOff>
                <xdr:row>3</xdr:row>
                <xdr:rowOff>47625</xdr:rowOff>
              </to>
            </anchor>
          </controlPr>
        </control>
      </mc:Choice>
      <mc:Fallback>
        <control shapeId="1026" r:id="rId3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H69"/>
  <sheetViews>
    <sheetView tabSelected="1" topLeftCell="B1" workbookViewId="0">
      <selection activeCell="A11" sqref="A11"/>
    </sheetView>
  </sheetViews>
  <sheetFormatPr defaultRowHeight="14.25"/>
  <cols>
    <col min="1" max="1" width="15.25" hidden="1" customWidth="1"/>
    <col min="2" max="3" width="22.875" customWidth="1"/>
    <col min="5" max="5" width="14.625" customWidth="1"/>
    <col min="6" max="8" width="11" customWidth="1"/>
  </cols>
  <sheetData>
    <row r="2" spans="1:8" ht="15.75">
      <c r="A2" t="s">
        <v>40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</row>
    <row r="3" spans="1:8">
      <c r="A3" t="str">
        <f>B3&amp;COUNTIF($B$3:B3,B3)</f>
        <v>B Grocer1</v>
      </c>
      <c r="B3" s="1" t="s">
        <v>7</v>
      </c>
      <c r="C3" s="1" t="s">
        <v>8</v>
      </c>
      <c r="D3" s="2">
        <v>210</v>
      </c>
      <c r="E3" s="2">
        <v>187</v>
      </c>
      <c r="F3" s="2">
        <v>39270</v>
      </c>
      <c r="G3" s="3">
        <v>7069</v>
      </c>
      <c r="H3" s="3">
        <v>46338.6</v>
      </c>
    </row>
    <row r="4" spans="1:8">
      <c r="A4" t="str">
        <f>B4&amp;COUNTIF($B$3:B4,B4)</f>
        <v>Easy Store1</v>
      </c>
      <c r="B4" s="1" t="s">
        <v>9</v>
      </c>
      <c r="C4" s="1" t="s">
        <v>10</v>
      </c>
      <c r="D4" s="2">
        <v>61</v>
      </c>
      <c r="E4" s="2">
        <v>361</v>
      </c>
      <c r="F4" s="2">
        <v>22021</v>
      </c>
      <c r="G4" s="3">
        <v>3963.7799999999997</v>
      </c>
      <c r="H4" s="3">
        <v>25984.78</v>
      </c>
    </row>
    <row r="5" spans="1:8">
      <c r="A5" t="str">
        <f>B5&amp;COUNTIF($B$3:B5,B5)</f>
        <v>Ultimate Store1</v>
      </c>
      <c r="B5" s="1" t="s">
        <v>11</v>
      </c>
      <c r="C5" s="1" t="s">
        <v>12</v>
      </c>
      <c r="D5" s="2">
        <v>57</v>
      </c>
      <c r="E5" s="2">
        <v>297</v>
      </c>
      <c r="F5" s="2">
        <v>16929</v>
      </c>
      <c r="G5" s="3">
        <v>3047.22</v>
      </c>
      <c r="H5" s="3">
        <v>19976.22</v>
      </c>
    </row>
    <row r="6" spans="1:8">
      <c r="A6" t="str">
        <f>B6&amp;COUNTIF($B$3:B6,B6)</f>
        <v>B Grocer2</v>
      </c>
      <c r="B6" s="1" t="s">
        <v>7</v>
      </c>
      <c r="C6" s="1" t="s">
        <v>13</v>
      </c>
      <c r="D6" s="2">
        <v>10</v>
      </c>
      <c r="E6" s="2">
        <v>111</v>
      </c>
      <c r="F6" s="2">
        <v>1110</v>
      </c>
      <c r="G6" s="3">
        <v>199.79999999999998</v>
      </c>
      <c r="H6" s="3">
        <v>1309.8</v>
      </c>
    </row>
    <row r="7" spans="1:8">
      <c r="A7" t="str">
        <f>B7&amp;COUNTIF($B$3:B7,B7)</f>
        <v>B Grocer3</v>
      </c>
      <c r="B7" s="1" t="s">
        <v>7</v>
      </c>
      <c r="C7" s="1" t="s">
        <v>8</v>
      </c>
      <c r="D7" s="2">
        <v>210</v>
      </c>
      <c r="E7" s="2">
        <v>383</v>
      </c>
      <c r="F7" s="2">
        <v>80430</v>
      </c>
      <c r="G7" s="3">
        <v>14477.4</v>
      </c>
      <c r="H7" s="3">
        <v>94907.4</v>
      </c>
    </row>
    <row r="8" spans="1:8">
      <c r="A8" t="str">
        <f>B8&amp;COUNTIF($B$3:B8,B8)</f>
        <v>B Grocer4</v>
      </c>
      <c r="B8" s="1" t="s">
        <v>7</v>
      </c>
      <c r="C8" s="1" t="s">
        <v>14</v>
      </c>
      <c r="D8" s="2">
        <v>40</v>
      </c>
      <c r="E8" s="2">
        <v>287</v>
      </c>
      <c r="F8" s="2">
        <v>11480</v>
      </c>
      <c r="G8" s="3">
        <v>2066.4</v>
      </c>
      <c r="H8" s="3">
        <v>13546.4</v>
      </c>
    </row>
    <row r="9" spans="1:8">
      <c r="A9" t="str">
        <f>B9&amp;COUNTIF($B$3:B9,B9)</f>
        <v>Easy Store2</v>
      </c>
      <c r="B9" s="1" t="s">
        <v>9</v>
      </c>
      <c r="C9" s="1" t="s">
        <v>10</v>
      </c>
      <c r="D9" s="2">
        <v>61</v>
      </c>
      <c r="E9" s="2">
        <v>154</v>
      </c>
      <c r="F9" s="2">
        <v>9394</v>
      </c>
      <c r="G9" s="3">
        <v>1690.9199999999998</v>
      </c>
      <c r="H9" s="3">
        <v>11084.92</v>
      </c>
    </row>
    <row r="10" spans="1:8">
      <c r="A10" t="str">
        <f>B10&amp;COUNTIF($B$3:B10,B10)</f>
        <v>First Service Store1</v>
      </c>
      <c r="B10" s="1" t="s">
        <v>15</v>
      </c>
      <c r="C10" s="1" t="s">
        <v>16</v>
      </c>
      <c r="D10" s="2">
        <v>15</v>
      </c>
      <c r="E10" s="2">
        <v>374</v>
      </c>
      <c r="F10" s="2">
        <v>5610</v>
      </c>
      <c r="G10" s="3">
        <v>1009.8</v>
      </c>
      <c r="H10" s="3">
        <v>6619.8</v>
      </c>
    </row>
    <row r="11" spans="1:8">
      <c r="A11" t="str">
        <f>B11&amp;COUNTIF($B$3:B11,B11)</f>
        <v>B Grocer5</v>
      </c>
      <c r="B11" s="1" t="s">
        <v>7</v>
      </c>
      <c r="C11" s="1" t="s">
        <v>17</v>
      </c>
      <c r="D11" s="2">
        <v>60</v>
      </c>
      <c r="E11" s="2">
        <v>312</v>
      </c>
      <c r="F11" s="2">
        <v>18720</v>
      </c>
      <c r="G11" s="3">
        <v>3369.6</v>
      </c>
      <c r="H11" s="3">
        <v>22089.599999999999</v>
      </c>
    </row>
    <row r="12" spans="1:8">
      <c r="A12" t="str">
        <f>B12&amp;COUNTIF($B$3:B12,B12)</f>
        <v>ABC Super Store1</v>
      </c>
      <c r="B12" s="1" t="s">
        <v>18</v>
      </c>
      <c r="C12" s="1" t="s">
        <v>19</v>
      </c>
      <c r="D12" s="2">
        <v>120</v>
      </c>
      <c r="E12" s="2">
        <v>357</v>
      </c>
      <c r="F12" s="2">
        <v>42840</v>
      </c>
      <c r="G12" s="3">
        <v>7711.2</v>
      </c>
      <c r="H12" s="3">
        <v>50551.199999999997</v>
      </c>
    </row>
    <row r="13" spans="1:8">
      <c r="A13" t="str">
        <f>B13&amp;COUNTIF($B$3:B13,B13)</f>
        <v>B Grocer6</v>
      </c>
      <c r="B13" s="1" t="s">
        <v>7</v>
      </c>
      <c r="C13" s="1" t="s">
        <v>20</v>
      </c>
      <c r="D13" s="2">
        <v>240</v>
      </c>
      <c r="E13" s="2">
        <v>232</v>
      </c>
      <c r="F13" s="2">
        <v>55680</v>
      </c>
      <c r="G13" s="3">
        <v>10022.4</v>
      </c>
      <c r="H13" s="3">
        <v>65702.399999999994</v>
      </c>
    </row>
    <row r="14" spans="1:8">
      <c r="A14" t="str">
        <f>B14&amp;COUNTIF($B$3:B14,B14)</f>
        <v>B Grocer7</v>
      </c>
      <c r="B14" s="1" t="s">
        <v>7</v>
      </c>
      <c r="C14" s="1" t="s">
        <v>19</v>
      </c>
      <c r="D14" s="2">
        <v>120</v>
      </c>
      <c r="E14" s="2">
        <v>411</v>
      </c>
      <c r="F14" s="2">
        <v>49320</v>
      </c>
      <c r="G14" s="3">
        <v>8877.6</v>
      </c>
      <c r="H14" s="3">
        <v>58197.599999999999</v>
      </c>
    </row>
    <row r="15" spans="1:8">
      <c r="A15" t="str">
        <f>B15&amp;COUNTIF($B$3:B15,B15)</f>
        <v>Ultimate Store2</v>
      </c>
      <c r="B15" s="1" t="s">
        <v>11</v>
      </c>
      <c r="C15" s="1" t="s">
        <v>21</v>
      </c>
      <c r="D15" s="2">
        <v>47</v>
      </c>
      <c r="E15" s="2">
        <v>420</v>
      </c>
      <c r="F15" s="2">
        <v>19740</v>
      </c>
      <c r="G15" s="3">
        <v>3553.2</v>
      </c>
      <c r="H15" s="3">
        <v>23293.200000000001</v>
      </c>
    </row>
    <row r="16" spans="1:8">
      <c r="A16" t="str">
        <f>B16&amp;COUNTIF($B$3:B16,B16)</f>
        <v>B Grocer8</v>
      </c>
      <c r="B16" s="1" t="s">
        <v>7</v>
      </c>
      <c r="C16" s="1" t="s">
        <v>22</v>
      </c>
      <c r="D16" s="2">
        <v>200</v>
      </c>
      <c r="E16" s="2">
        <v>306</v>
      </c>
      <c r="F16" s="2">
        <v>61200</v>
      </c>
      <c r="G16" s="3">
        <v>11016</v>
      </c>
      <c r="H16" s="3">
        <v>72216</v>
      </c>
    </row>
    <row r="17" spans="1:8">
      <c r="A17" t="str">
        <f>B17&amp;COUNTIF($B$3:B17,B17)</f>
        <v>B Grocer9</v>
      </c>
      <c r="B17" s="1" t="s">
        <v>7</v>
      </c>
      <c r="C17" s="1" t="s">
        <v>22</v>
      </c>
      <c r="D17" s="2">
        <v>200</v>
      </c>
      <c r="E17" s="2">
        <v>319</v>
      </c>
      <c r="F17" s="2">
        <v>63800</v>
      </c>
      <c r="G17" s="3">
        <v>11484</v>
      </c>
      <c r="H17" s="3">
        <v>75284</v>
      </c>
    </row>
    <row r="18" spans="1:8">
      <c r="A18" t="str">
        <f>B18&amp;COUNTIF($B$3:B18,B18)</f>
        <v>ABC Super Store2</v>
      </c>
      <c r="B18" s="1" t="s">
        <v>18</v>
      </c>
      <c r="C18" s="1" t="s">
        <v>23</v>
      </c>
      <c r="D18" s="2">
        <v>125</v>
      </c>
      <c r="E18" s="2">
        <v>269</v>
      </c>
      <c r="F18" s="2">
        <v>33625</v>
      </c>
      <c r="G18" s="3">
        <v>6052.5</v>
      </c>
      <c r="H18" s="3">
        <v>39677.5</v>
      </c>
    </row>
    <row r="19" spans="1:8">
      <c r="A19" t="str">
        <f>B19&amp;COUNTIF($B$3:B19,B19)</f>
        <v>ABC Super Store3</v>
      </c>
      <c r="B19" s="1" t="s">
        <v>18</v>
      </c>
      <c r="C19" s="1" t="s">
        <v>24</v>
      </c>
      <c r="D19" s="2">
        <v>99</v>
      </c>
      <c r="E19" s="2">
        <v>113</v>
      </c>
      <c r="F19" s="2">
        <v>11187</v>
      </c>
      <c r="G19" s="3">
        <v>2013.6599999999999</v>
      </c>
      <c r="H19" s="3">
        <v>13200.66</v>
      </c>
    </row>
    <row r="20" spans="1:8">
      <c r="A20" t="str">
        <f>B20&amp;COUNTIF($B$3:B20,B20)</f>
        <v>Easy Store3</v>
      </c>
      <c r="B20" s="1" t="s">
        <v>9</v>
      </c>
      <c r="C20" s="1" t="s">
        <v>25</v>
      </c>
      <c r="D20" s="2">
        <v>75</v>
      </c>
      <c r="E20" s="2">
        <v>342</v>
      </c>
      <c r="F20" s="2">
        <v>25650</v>
      </c>
      <c r="G20" s="3">
        <v>4617</v>
      </c>
      <c r="H20" s="3">
        <v>30267</v>
      </c>
    </row>
    <row r="21" spans="1:8">
      <c r="A21" t="str">
        <f>B21&amp;COUNTIF($B$3:B21,B21)</f>
        <v>Easy Store4</v>
      </c>
      <c r="B21" s="1" t="s">
        <v>9</v>
      </c>
      <c r="C21" s="1" t="s">
        <v>10</v>
      </c>
      <c r="D21" s="2">
        <v>61</v>
      </c>
      <c r="E21" s="2">
        <v>330</v>
      </c>
      <c r="F21" s="2">
        <v>20130</v>
      </c>
      <c r="G21" s="3">
        <v>3623.4</v>
      </c>
      <c r="H21" s="3">
        <v>23753.4</v>
      </c>
    </row>
    <row r="22" spans="1:8">
      <c r="A22" t="str">
        <f>B22&amp;COUNTIF($B$3:B22,B22)</f>
        <v>Ultimate Store3</v>
      </c>
      <c r="B22" s="1" t="s">
        <v>11</v>
      </c>
      <c r="C22" s="1" t="s">
        <v>26</v>
      </c>
      <c r="D22" s="2">
        <v>215</v>
      </c>
      <c r="E22" s="2">
        <v>408</v>
      </c>
      <c r="F22" s="2">
        <v>87720</v>
      </c>
      <c r="G22" s="3">
        <v>15789.599999999999</v>
      </c>
      <c r="H22" s="3">
        <v>103509.6</v>
      </c>
    </row>
    <row r="23" spans="1:8">
      <c r="A23" t="str">
        <f>B23&amp;COUNTIF($B$3:B23,B23)</f>
        <v>B Grocer10</v>
      </c>
      <c r="B23" s="1" t="s">
        <v>7</v>
      </c>
      <c r="C23" s="1" t="s">
        <v>13</v>
      </c>
      <c r="D23" s="2">
        <v>10</v>
      </c>
      <c r="E23" s="2">
        <v>358</v>
      </c>
      <c r="F23" s="2">
        <v>3580</v>
      </c>
      <c r="G23" s="3">
        <v>644.4</v>
      </c>
      <c r="H23" s="3">
        <v>4224.3999999999996</v>
      </c>
    </row>
    <row r="24" spans="1:8">
      <c r="A24" t="str">
        <f>B24&amp;COUNTIF($B$3:B24,B24)</f>
        <v>Ultimate Store4</v>
      </c>
      <c r="B24" s="1" t="s">
        <v>11</v>
      </c>
      <c r="C24" s="1" t="s">
        <v>22</v>
      </c>
      <c r="D24" s="2">
        <v>200</v>
      </c>
      <c r="E24" s="2">
        <v>145</v>
      </c>
      <c r="F24" s="2">
        <v>29000</v>
      </c>
      <c r="G24" s="3">
        <v>5220</v>
      </c>
      <c r="H24" s="3">
        <v>34220</v>
      </c>
    </row>
    <row r="25" spans="1:8">
      <c r="A25" t="str">
        <f>B25&amp;COUNTIF($B$3:B25,B25)</f>
        <v>Ultimate Store5</v>
      </c>
      <c r="B25" s="1" t="s">
        <v>11</v>
      </c>
      <c r="C25" s="1" t="s">
        <v>17</v>
      </c>
      <c r="D25" s="2">
        <v>60</v>
      </c>
      <c r="E25" s="2">
        <v>100</v>
      </c>
      <c r="F25" s="2">
        <v>6000</v>
      </c>
      <c r="G25" s="3">
        <v>1080</v>
      </c>
      <c r="H25" s="3">
        <v>7080</v>
      </c>
    </row>
    <row r="26" spans="1:8">
      <c r="A26" t="str">
        <f>B26&amp;COUNTIF($B$3:B26,B26)</f>
        <v>Easy Store5</v>
      </c>
      <c r="B26" s="1" t="s">
        <v>9</v>
      </c>
      <c r="C26" s="1" t="s">
        <v>27</v>
      </c>
      <c r="D26" s="2">
        <v>25</v>
      </c>
      <c r="E26" s="2">
        <v>496</v>
      </c>
      <c r="F26" s="2">
        <v>12400</v>
      </c>
      <c r="G26" s="3">
        <v>2232</v>
      </c>
      <c r="H26" s="3">
        <v>14632</v>
      </c>
    </row>
    <row r="27" spans="1:8">
      <c r="A27" t="str">
        <f>B27&amp;COUNTIF($B$3:B27,B27)</f>
        <v>Haritesh Store1</v>
      </c>
      <c r="B27" s="1" t="s">
        <v>28</v>
      </c>
      <c r="C27" s="1" t="s">
        <v>17</v>
      </c>
      <c r="D27" s="2">
        <v>60</v>
      </c>
      <c r="E27" s="2">
        <v>272</v>
      </c>
      <c r="F27" s="2">
        <v>16320</v>
      </c>
      <c r="G27" s="3">
        <v>2937.6</v>
      </c>
      <c r="H27" s="3">
        <v>19257.599999999999</v>
      </c>
    </row>
    <row r="28" spans="1:8">
      <c r="A28" t="str">
        <f>B28&amp;COUNTIF($B$3:B28,B28)</f>
        <v>Haritesh Store2</v>
      </c>
      <c r="B28" s="1" t="s">
        <v>28</v>
      </c>
      <c r="C28" s="1" t="s">
        <v>22</v>
      </c>
      <c r="D28" s="2">
        <v>200</v>
      </c>
      <c r="E28" s="2">
        <v>301</v>
      </c>
      <c r="F28" s="2">
        <v>60200</v>
      </c>
      <c r="G28" s="3">
        <v>10836</v>
      </c>
      <c r="H28" s="3">
        <v>71036</v>
      </c>
    </row>
    <row r="29" spans="1:8">
      <c r="A29" t="str">
        <f>B29&amp;COUNTIF($B$3:B29,B29)</f>
        <v>Ultimate Store6</v>
      </c>
      <c r="B29" s="1" t="s">
        <v>11</v>
      </c>
      <c r="C29" s="1" t="s">
        <v>29</v>
      </c>
      <c r="D29" s="2">
        <v>25</v>
      </c>
      <c r="E29" s="2">
        <v>458</v>
      </c>
      <c r="F29" s="2">
        <v>11450</v>
      </c>
      <c r="G29" s="3">
        <v>2061</v>
      </c>
      <c r="H29" s="3">
        <v>13511</v>
      </c>
    </row>
    <row r="30" spans="1:8">
      <c r="A30" t="str">
        <f>B30&amp;COUNTIF($B$3:B30,B30)</f>
        <v>Haritesh Store3</v>
      </c>
      <c r="B30" s="1" t="s">
        <v>28</v>
      </c>
      <c r="C30" s="1" t="s">
        <v>14</v>
      </c>
      <c r="D30" s="2">
        <v>40</v>
      </c>
      <c r="E30" s="2">
        <v>291</v>
      </c>
      <c r="F30" s="2">
        <v>11640</v>
      </c>
      <c r="G30" s="3">
        <v>2095.1999999999998</v>
      </c>
      <c r="H30" s="3">
        <v>13735.2</v>
      </c>
    </row>
    <row r="31" spans="1:8">
      <c r="A31" t="str">
        <f>B31&amp;COUNTIF($B$3:B31,B31)</f>
        <v>B Grocer11</v>
      </c>
      <c r="B31" s="1" t="s">
        <v>7</v>
      </c>
      <c r="C31" s="1" t="s">
        <v>10</v>
      </c>
      <c r="D31" s="2">
        <v>61</v>
      </c>
      <c r="E31" s="2">
        <v>140</v>
      </c>
      <c r="F31" s="2">
        <v>8540</v>
      </c>
      <c r="G31" s="3">
        <v>1537.2</v>
      </c>
      <c r="H31" s="3">
        <v>10077.200000000001</v>
      </c>
    </row>
    <row r="32" spans="1:8">
      <c r="A32" t="str">
        <f>B32&amp;COUNTIF($B$3:B32,B32)</f>
        <v>Easy Store6</v>
      </c>
      <c r="B32" s="1" t="s">
        <v>9</v>
      </c>
      <c r="C32" s="1" t="s">
        <v>14</v>
      </c>
      <c r="D32" s="2">
        <v>40</v>
      </c>
      <c r="E32" s="2">
        <v>417</v>
      </c>
      <c r="F32" s="2">
        <v>16680</v>
      </c>
      <c r="G32" s="3">
        <v>3002.4</v>
      </c>
      <c r="H32" s="3">
        <v>19682.400000000001</v>
      </c>
    </row>
    <row r="33" spans="1:8">
      <c r="A33" t="str">
        <f>B33&amp;COUNTIF($B$3:B33,B33)</f>
        <v>B Grocer12</v>
      </c>
      <c r="B33" s="1" t="s">
        <v>7</v>
      </c>
      <c r="C33" s="1" t="s">
        <v>30</v>
      </c>
      <c r="D33" s="2">
        <v>150</v>
      </c>
      <c r="E33" s="2">
        <v>319</v>
      </c>
      <c r="F33" s="2">
        <v>47850</v>
      </c>
      <c r="G33" s="3">
        <v>8613</v>
      </c>
      <c r="H33" s="3">
        <v>56463</v>
      </c>
    </row>
    <row r="34" spans="1:8">
      <c r="A34" t="str">
        <f>B34&amp;COUNTIF($B$3:B34,B34)</f>
        <v>B Grocer13</v>
      </c>
      <c r="B34" s="1" t="s">
        <v>7</v>
      </c>
      <c r="C34" s="1" t="s">
        <v>23</v>
      </c>
      <c r="D34" s="2">
        <v>125</v>
      </c>
      <c r="E34" s="2">
        <v>138</v>
      </c>
      <c r="F34" s="2">
        <v>17250</v>
      </c>
      <c r="G34" s="3">
        <v>3105</v>
      </c>
      <c r="H34" s="3">
        <v>20355</v>
      </c>
    </row>
    <row r="35" spans="1:8">
      <c r="A35" t="str">
        <f>B35&amp;COUNTIF($B$3:B35,B35)</f>
        <v>Ultimate Store7</v>
      </c>
      <c r="B35" s="1" t="s">
        <v>11</v>
      </c>
      <c r="C35" s="1" t="s">
        <v>21</v>
      </c>
      <c r="D35" s="2">
        <v>47</v>
      </c>
      <c r="E35" s="2">
        <v>103</v>
      </c>
      <c r="F35" s="2">
        <v>4841</v>
      </c>
      <c r="G35" s="3">
        <v>871.38</v>
      </c>
      <c r="H35" s="3">
        <v>5712.38</v>
      </c>
    </row>
    <row r="36" spans="1:8">
      <c r="A36" t="str">
        <f>B36&amp;COUNTIF($B$3:B36,B36)</f>
        <v>Easy Store7</v>
      </c>
      <c r="B36" s="1" t="s">
        <v>9</v>
      </c>
      <c r="C36" s="1" t="s">
        <v>12</v>
      </c>
      <c r="D36" s="2">
        <v>57</v>
      </c>
      <c r="E36" s="2">
        <v>110</v>
      </c>
      <c r="F36" s="2">
        <v>6270</v>
      </c>
      <c r="G36" s="3">
        <v>1128.5999999999999</v>
      </c>
      <c r="H36" s="3">
        <v>7398.6</v>
      </c>
    </row>
    <row r="37" spans="1:8">
      <c r="A37" t="str">
        <f>B37&amp;COUNTIF($B$3:B37,B37)</f>
        <v>Ultimate Store8</v>
      </c>
      <c r="B37" s="1" t="s">
        <v>11</v>
      </c>
      <c r="C37" s="1" t="s">
        <v>27</v>
      </c>
      <c r="D37" s="2">
        <v>25</v>
      </c>
      <c r="E37" s="2">
        <v>260</v>
      </c>
      <c r="F37" s="2">
        <v>6500</v>
      </c>
      <c r="G37" s="3">
        <v>1170</v>
      </c>
      <c r="H37" s="3">
        <v>7670</v>
      </c>
    </row>
    <row r="38" spans="1:8">
      <c r="A38" t="str">
        <f>B38&amp;COUNTIF($B$3:B38,B38)</f>
        <v>Ultimate Store9</v>
      </c>
      <c r="B38" s="1" t="s">
        <v>11</v>
      </c>
      <c r="C38" s="1" t="s">
        <v>26</v>
      </c>
      <c r="D38" s="2">
        <v>215</v>
      </c>
      <c r="E38" s="2">
        <v>396</v>
      </c>
      <c r="F38" s="2">
        <v>85140</v>
      </c>
      <c r="G38" s="3">
        <v>15325.199999999999</v>
      </c>
      <c r="H38" s="3">
        <v>100465.2</v>
      </c>
    </row>
    <row r="39" spans="1:8">
      <c r="A39" t="str">
        <f>B39&amp;COUNTIF($B$3:B39,B39)</f>
        <v>B Grocer14</v>
      </c>
      <c r="B39" s="1" t="s">
        <v>7</v>
      </c>
      <c r="C39" s="1" t="s">
        <v>20</v>
      </c>
      <c r="D39" s="2">
        <v>240</v>
      </c>
      <c r="E39" s="2">
        <v>484</v>
      </c>
      <c r="F39" s="2">
        <v>116160</v>
      </c>
      <c r="G39" s="3">
        <v>20908.8</v>
      </c>
      <c r="H39" s="3">
        <v>137068.79999999999</v>
      </c>
    </row>
    <row r="40" spans="1:8">
      <c r="A40" t="str">
        <f>B40&amp;COUNTIF($B$3:B40,B40)</f>
        <v>Haritesh Store4</v>
      </c>
      <c r="B40" s="1" t="s">
        <v>28</v>
      </c>
      <c r="C40" s="1" t="s">
        <v>31</v>
      </c>
      <c r="D40" s="2">
        <v>90</v>
      </c>
      <c r="E40" s="2">
        <v>308</v>
      </c>
      <c r="F40" s="2">
        <v>27720</v>
      </c>
      <c r="G40" s="3">
        <v>4989.5999999999995</v>
      </c>
      <c r="H40" s="3">
        <v>32709.599999999999</v>
      </c>
    </row>
    <row r="41" spans="1:8">
      <c r="A41" t="str">
        <f>B41&amp;COUNTIF($B$3:B41,B41)</f>
        <v>B Grocer15</v>
      </c>
      <c r="B41" s="1" t="s">
        <v>7</v>
      </c>
      <c r="C41" s="1" t="s">
        <v>10</v>
      </c>
      <c r="D41" s="2">
        <v>61</v>
      </c>
      <c r="E41" s="2">
        <v>276</v>
      </c>
      <c r="F41" s="2">
        <v>16836</v>
      </c>
      <c r="G41" s="3">
        <v>3030.48</v>
      </c>
      <c r="H41" s="3">
        <v>19866.48</v>
      </c>
    </row>
    <row r="42" spans="1:8">
      <c r="A42" t="str">
        <f>B42&amp;COUNTIF($B$3:B42,B42)</f>
        <v>B Grocer16</v>
      </c>
      <c r="B42" s="1" t="s">
        <v>7</v>
      </c>
      <c r="C42" s="1" t="s">
        <v>32</v>
      </c>
      <c r="D42" s="2">
        <v>100</v>
      </c>
      <c r="E42" s="2">
        <v>322</v>
      </c>
      <c r="F42" s="2">
        <v>32200</v>
      </c>
      <c r="G42" s="3">
        <v>5796</v>
      </c>
      <c r="H42" s="3">
        <v>37996</v>
      </c>
    </row>
    <row r="43" spans="1:8">
      <c r="A43" t="str">
        <f>B43&amp;COUNTIF($B$3:B43,B43)</f>
        <v>B Grocer17</v>
      </c>
      <c r="B43" s="1" t="s">
        <v>7</v>
      </c>
      <c r="C43" s="1" t="s">
        <v>12</v>
      </c>
      <c r="D43" s="2">
        <v>57</v>
      </c>
      <c r="E43" s="2">
        <v>483</v>
      </c>
      <c r="F43" s="2">
        <v>27531</v>
      </c>
      <c r="G43" s="3">
        <v>4955.58</v>
      </c>
      <c r="H43" s="3">
        <v>32486.58</v>
      </c>
    </row>
    <row r="44" spans="1:8">
      <c r="A44" t="str">
        <f>B44&amp;COUNTIF($B$3:B44,B44)</f>
        <v>First Service Store2</v>
      </c>
      <c r="B44" s="1" t="s">
        <v>15</v>
      </c>
      <c r="C44" s="1" t="s">
        <v>8</v>
      </c>
      <c r="D44" s="2">
        <v>210</v>
      </c>
      <c r="E44" s="2">
        <v>127</v>
      </c>
      <c r="F44" s="2">
        <v>26670</v>
      </c>
      <c r="G44" s="3">
        <v>4800.5999999999995</v>
      </c>
      <c r="H44" s="3">
        <v>31470.6</v>
      </c>
    </row>
    <row r="45" spans="1:8">
      <c r="A45" t="str">
        <f>B45&amp;COUNTIF($B$3:B45,B45)</f>
        <v>First Service Store3</v>
      </c>
      <c r="B45" s="1" t="s">
        <v>15</v>
      </c>
      <c r="C45" s="1" t="s">
        <v>22</v>
      </c>
      <c r="D45" s="2">
        <v>200</v>
      </c>
      <c r="E45" s="2">
        <v>160</v>
      </c>
      <c r="F45" s="2">
        <v>32000</v>
      </c>
      <c r="G45" s="3">
        <v>5760</v>
      </c>
      <c r="H45" s="3">
        <v>37760</v>
      </c>
    </row>
    <row r="46" spans="1:8">
      <c r="A46" t="str">
        <f>B46&amp;COUNTIF($B$3:B46,B46)</f>
        <v>Easy Store8</v>
      </c>
      <c r="B46" s="1" t="s">
        <v>9</v>
      </c>
      <c r="C46" s="1" t="s">
        <v>33</v>
      </c>
      <c r="D46" s="2">
        <v>35</v>
      </c>
      <c r="E46" s="2">
        <v>377</v>
      </c>
      <c r="F46" s="2">
        <v>13195</v>
      </c>
      <c r="G46" s="3">
        <v>2375.1</v>
      </c>
      <c r="H46" s="3">
        <v>15570.1</v>
      </c>
    </row>
    <row r="47" spans="1:8">
      <c r="A47" t="str">
        <f>B47&amp;COUNTIF($B$3:B47,B47)</f>
        <v>First Service Store4</v>
      </c>
      <c r="B47" s="1" t="s">
        <v>15</v>
      </c>
      <c r="C47" s="1" t="s">
        <v>22</v>
      </c>
      <c r="D47" s="2">
        <v>200</v>
      </c>
      <c r="E47" s="2">
        <v>299</v>
      </c>
      <c r="F47" s="2">
        <v>59800</v>
      </c>
      <c r="G47" s="3">
        <v>10764</v>
      </c>
      <c r="H47" s="3">
        <v>70564</v>
      </c>
    </row>
    <row r="48" spans="1:8">
      <c r="A48" t="str">
        <f>B48&amp;COUNTIF($B$3:B48,B48)</f>
        <v>ABC Super Store4</v>
      </c>
      <c r="B48" s="1" t="s">
        <v>18</v>
      </c>
      <c r="C48" s="1" t="s">
        <v>33</v>
      </c>
      <c r="D48" s="2">
        <v>35</v>
      </c>
      <c r="E48" s="2">
        <v>318</v>
      </c>
      <c r="F48" s="2">
        <v>11130</v>
      </c>
      <c r="G48" s="3">
        <v>2003.3999999999999</v>
      </c>
      <c r="H48" s="3">
        <v>13133.4</v>
      </c>
    </row>
    <row r="49" spans="1:8">
      <c r="A49" t="str">
        <f>B49&amp;COUNTIF($B$3:B49,B49)</f>
        <v>First Service Store5</v>
      </c>
      <c r="B49" s="1" t="s">
        <v>15</v>
      </c>
      <c r="C49" s="1" t="s">
        <v>21</v>
      </c>
      <c r="D49" s="2">
        <v>47</v>
      </c>
      <c r="E49" s="2">
        <v>250</v>
      </c>
      <c r="F49" s="2">
        <v>11750</v>
      </c>
      <c r="G49" s="3">
        <v>2115</v>
      </c>
      <c r="H49" s="3">
        <v>13865</v>
      </c>
    </row>
    <row r="50" spans="1:8">
      <c r="A50" t="str">
        <f>B50&amp;COUNTIF($B$3:B50,B50)</f>
        <v>Easy Store9</v>
      </c>
      <c r="B50" s="1" t="s">
        <v>9</v>
      </c>
      <c r="C50" s="1" t="s">
        <v>22</v>
      </c>
      <c r="D50" s="2">
        <v>200</v>
      </c>
      <c r="E50" s="2">
        <v>353</v>
      </c>
      <c r="F50" s="2">
        <v>70600</v>
      </c>
      <c r="G50" s="3">
        <v>12708</v>
      </c>
      <c r="H50" s="3">
        <v>83308</v>
      </c>
    </row>
    <row r="51" spans="1:8">
      <c r="A51" t="str">
        <f>B51&amp;COUNTIF($B$3:B51,B51)</f>
        <v>First Service Store6</v>
      </c>
      <c r="B51" s="1" t="s">
        <v>15</v>
      </c>
      <c r="C51" s="1" t="s">
        <v>20</v>
      </c>
      <c r="D51" s="2">
        <v>240</v>
      </c>
      <c r="E51" s="2">
        <v>172</v>
      </c>
      <c r="F51" s="2">
        <v>41280</v>
      </c>
      <c r="G51" s="3">
        <v>7430.4</v>
      </c>
      <c r="H51" s="3">
        <v>48710.400000000001</v>
      </c>
    </row>
    <row r="52" spans="1:8">
      <c r="A52" t="str">
        <f>B52&amp;COUNTIF($B$3:B52,B52)</f>
        <v>Easy Store10</v>
      </c>
      <c r="B52" s="1" t="s">
        <v>9</v>
      </c>
      <c r="C52" s="1" t="s">
        <v>13</v>
      </c>
      <c r="D52" s="2">
        <v>10</v>
      </c>
      <c r="E52" s="2">
        <v>389</v>
      </c>
      <c r="F52" s="2">
        <v>3890</v>
      </c>
      <c r="G52" s="3">
        <v>700.19999999999993</v>
      </c>
      <c r="H52" s="3">
        <v>4590.2</v>
      </c>
    </row>
    <row r="53" spans="1:8">
      <c r="A53" t="str">
        <f>B53&amp;COUNTIF($B$3:B53,B53)</f>
        <v>Haritesh Store5</v>
      </c>
      <c r="B53" s="1" t="s">
        <v>28</v>
      </c>
      <c r="C53" s="1" t="s">
        <v>12</v>
      </c>
      <c r="D53" s="2">
        <v>57</v>
      </c>
      <c r="E53" s="2">
        <v>397</v>
      </c>
      <c r="F53" s="2">
        <v>22629</v>
      </c>
      <c r="G53" s="3">
        <v>4073.22</v>
      </c>
      <c r="H53" s="3">
        <v>26702.22</v>
      </c>
    </row>
    <row r="54" spans="1:8">
      <c r="A54" t="str">
        <f>B54&amp;COUNTIF($B$3:B54,B54)</f>
        <v>ABC Super Store5</v>
      </c>
      <c r="B54" s="1" t="s">
        <v>18</v>
      </c>
      <c r="C54" s="1" t="s">
        <v>31</v>
      </c>
      <c r="D54" s="2">
        <v>90</v>
      </c>
      <c r="E54" s="2">
        <v>411</v>
      </c>
      <c r="F54" s="2">
        <v>36990</v>
      </c>
      <c r="G54" s="3">
        <v>6658.2</v>
      </c>
      <c r="H54" s="3">
        <v>43648.2</v>
      </c>
    </row>
    <row r="55" spans="1:8">
      <c r="A55" t="str">
        <f>B55&amp;COUNTIF($B$3:B55,B55)</f>
        <v>ABC Super Store6</v>
      </c>
      <c r="B55" s="1" t="s">
        <v>18</v>
      </c>
      <c r="C55" s="1" t="s">
        <v>26</v>
      </c>
      <c r="D55" s="2">
        <v>215</v>
      </c>
      <c r="E55" s="2">
        <v>315</v>
      </c>
      <c r="F55" s="2">
        <v>67725</v>
      </c>
      <c r="G55" s="3">
        <v>12190.5</v>
      </c>
      <c r="H55" s="3">
        <v>79915.5</v>
      </c>
    </row>
    <row r="56" spans="1:8">
      <c r="A56" t="str">
        <f>B56&amp;COUNTIF($B$3:B56,B56)</f>
        <v>Haritesh Store6</v>
      </c>
      <c r="B56" s="1" t="s">
        <v>28</v>
      </c>
      <c r="C56" s="1" t="s">
        <v>26</v>
      </c>
      <c r="D56" s="2">
        <v>215</v>
      </c>
      <c r="E56" s="2">
        <v>237</v>
      </c>
      <c r="F56" s="2">
        <v>50955</v>
      </c>
      <c r="G56" s="3">
        <v>9171.9</v>
      </c>
      <c r="H56" s="3">
        <v>60126.9</v>
      </c>
    </row>
    <row r="57" spans="1:8">
      <c r="A57" t="str">
        <f>B57&amp;COUNTIF($B$3:B57,B57)</f>
        <v>Haritesh Store7</v>
      </c>
      <c r="B57" s="1" t="s">
        <v>28</v>
      </c>
      <c r="C57" s="1" t="s">
        <v>25</v>
      </c>
      <c r="D57" s="2">
        <v>75</v>
      </c>
      <c r="E57" s="2">
        <v>233</v>
      </c>
      <c r="F57" s="2">
        <v>17475</v>
      </c>
      <c r="G57" s="3">
        <v>3145.5</v>
      </c>
      <c r="H57" s="3">
        <v>20620.5</v>
      </c>
    </row>
    <row r="58" spans="1:8">
      <c r="A58" t="str">
        <f>B58&amp;COUNTIF($B$3:B58,B58)</f>
        <v>First Service Store7</v>
      </c>
      <c r="B58" s="1" t="s">
        <v>15</v>
      </c>
      <c r="C58" s="1" t="s">
        <v>34</v>
      </c>
      <c r="D58" s="2">
        <v>24</v>
      </c>
      <c r="E58" s="2">
        <v>217</v>
      </c>
      <c r="F58" s="2">
        <v>5208</v>
      </c>
      <c r="G58" s="3">
        <v>937.43999999999994</v>
      </c>
      <c r="H58" s="3">
        <v>6145.44</v>
      </c>
    </row>
    <row r="59" spans="1:8">
      <c r="A59" t="str">
        <f>B59&amp;COUNTIF($B$3:B59,B59)</f>
        <v>Easy Store11</v>
      </c>
      <c r="B59" s="1" t="s">
        <v>9</v>
      </c>
      <c r="C59" s="1" t="s">
        <v>12</v>
      </c>
      <c r="D59" s="2">
        <v>57</v>
      </c>
      <c r="E59" s="2">
        <v>324</v>
      </c>
      <c r="F59" s="2">
        <v>18468</v>
      </c>
      <c r="G59" s="3">
        <v>3324.24</v>
      </c>
      <c r="H59" s="3">
        <v>21792.239999999998</v>
      </c>
    </row>
    <row r="60" spans="1:8">
      <c r="A60" t="str">
        <f>B60&amp;COUNTIF($B$3:B60,B60)</f>
        <v>Easy Store12</v>
      </c>
      <c r="B60" s="1" t="s">
        <v>9</v>
      </c>
      <c r="C60" s="1" t="s">
        <v>21</v>
      </c>
      <c r="D60" s="2">
        <v>47</v>
      </c>
      <c r="E60" s="2">
        <v>251</v>
      </c>
      <c r="F60" s="2">
        <v>11797</v>
      </c>
      <c r="G60" s="3">
        <v>2123.46</v>
      </c>
      <c r="H60" s="3">
        <v>13920.46</v>
      </c>
    </row>
    <row r="61" spans="1:8">
      <c r="A61" t="str">
        <f>B61&amp;COUNTIF($B$3:B61,B61)</f>
        <v>Easy Store13</v>
      </c>
      <c r="B61" s="1" t="s">
        <v>9</v>
      </c>
      <c r="C61" s="1" t="s">
        <v>10</v>
      </c>
      <c r="D61" s="2">
        <v>61</v>
      </c>
      <c r="E61" s="2">
        <v>353</v>
      </c>
      <c r="F61" s="2">
        <v>21533</v>
      </c>
      <c r="G61" s="3">
        <v>3875.94</v>
      </c>
      <c r="H61" s="3">
        <v>25408.94</v>
      </c>
    </row>
    <row r="62" spans="1:8">
      <c r="A62" t="str">
        <f>B62&amp;COUNTIF($B$3:B62,B62)</f>
        <v>Haritesh Store8</v>
      </c>
      <c r="B62" s="1" t="s">
        <v>28</v>
      </c>
      <c r="C62" s="1" t="s">
        <v>30</v>
      </c>
      <c r="D62" s="2">
        <v>150</v>
      </c>
      <c r="E62" s="2">
        <v>199</v>
      </c>
      <c r="F62" s="2">
        <v>29850</v>
      </c>
      <c r="G62" s="3">
        <v>5373</v>
      </c>
      <c r="H62" s="3">
        <v>35223</v>
      </c>
    </row>
    <row r="63" spans="1:8">
      <c r="A63" t="str">
        <f>B63&amp;COUNTIF($B$3:B63,B63)</f>
        <v>Haritesh Store9</v>
      </c>
      <c r="B63" s="1" t="s">
        <v>28</v>
      </c>
      <c r="C63" s="1" t="s">
        <v>35</v>
      </c>
      <c r="D63" s="2">
        <v>45</v>
      </c>
      <c r="E63" s="2">
        <v>184</v>
      </c>
      <c r="F63" s="2">
        <v>8280</v>
      </c>
      <c r="G63" s="3">
        <v>1490.3999999999999</v>
      </c>
      <c r="H63" s="3">
        <v>9770.4</v>
      </c>
    </row>
    <row r="64" spans="1:8">
      <c r="A64" t="str">
        <f>B64&amp;COUNTIF($B$3:B64,B64)</f>
        <v>Easy Store14</v>
      </c>
      <c r="B64" s="1" t="s">
        <v>9</v>
      </c>
      <c r="C64" s="1" t="s">
        <v>26</v>
      </c>
      <c r="D64" s="2">
        <v>215</v>
      </c>
      <c r="E64" s="2">
        <v>343</v>
      </c>
      <c r="F64" s="2">
        <v>73745</v>
      </c>
      <c r="G64" s="3">
        <v>13274.1</v>
      </c>
      <c r="H64" s="3">
        <v>87019.1</v>
      </c>
    </row>
    <row r="65" spans="1:8">
      <c r="A65" t="str">
        <f>B65&amp;COUNTIF($B$3:B65,B65)</f>
        <v>Haritesh Store10</v>
      </c>
      <c r="B65" s="1" t="s">
        <v>28</v>
      </c>
      <c r="C65" s="1" t="s">
        <v>36</v>
      </c>
      <c r="D65" s="2">
        <v>29</v>
      </c>
      <c r="E65" s="2">
        <v>295</v>
      </c>
      <c r="F65" s="2">
        <v>8555</v>
      </c>
      <c r="G65" s="3">
        <v>1539.8999999999999</v>
      </c>
      <c r="H65" s="3">
        <v>10094.9</v>
      </c>
    </row>
    <row r="66" spans="1:8">
      <c r="A66" t="str">
        <f>B66&amp;COUNTIF($B$3:B66,B66)</f>
        <v>Haritesh Store11</v>
      </c>
      <c r="B66" s="1" t="s">
        <v>28</v>
      </c>
      <c r="C66" s="1" t="s">
        <v>8</v>
      </c>
      <c r="D66" s="2">
        <v>210</v>
      </c>
      <c r="E66" s="2">
        <v>389</v>
      </c>
      <c r="F66" s="2">
        <v>81690</v>
      </c>
      <c r="G66" s="3">
        <v>14704.199999999999</v>
      </c>
      <c r="H66" s="3">
        <v>96394.2</v>
      </c>
    </row>
    <row r="67" spans="1:8">
      <c r="A67" t="str">
        <f>B67&amp;COUNTIF($B$3:B67,B67)</f>
        <v>ABC Super Store7</v>
      </c>
      <c r="B67" s="1" t="s">
        <v>18</v>
      </c>
      <c r="C67" s="1" t="s">
        <v>13</v>
      </c>
      <c r="D67" s="2">
        <v>10</v>
      </c>
      <c r="E67" s="2">
        <v>470</v>
      </c>
      <c r="F67" s="2">
        <v>4700</v>
      </c>
      <c r="G67" s="3">
        <v>846</v>
      </c>
      <c r="H67" s="3">
        <v>5546</v>
      </c>
    </row>
    <row r="68" spans="1:8">
      <c r="A68" t="str">
        <f>B68&amp;COUNTIF($B$3:B68,B68)</f>
        <v>First Service Store8</v>
      </c>
      <c r="B68" s="1" t="s">
        <v>15</v>
      </c>
      <c r="C68" s="1" t="s">
        <v>37</v>
      </c>
      <c r="D68" s="2">
        <v>5</v>
      </c>
      <c r="E68" s="2">
        <v>151</v>
      </c>
      <c r="F68" s="2">
        <v>755</v>
      </c>
      <c r="G68" s="3">
        <v>135.9</v>
      </c>
      <c r="H68" s="3">
        <v>890.9</v>
      </c>
    </row>
    <row r="69" spans="1:8">
      <c r="A69" t="str">
        <f>B69&amp;COUNTIF($B$3:B69,B69)</f>
        <v>ABC Super Store8</v>
      </c>
      <c r="B69" s="1" t="s">
        <v>18</v>
      </c>
      <c r="C69" s="1" t="s">
        <v>38</v>
      </c>
      <c r="D69" s="2">
        <v>125</v>
      </c>
      <c r="E69" s="2">
        <v>5</v>
      </c>
      <c r="F69" s="2">
        <v>625</v>
      </c>
      <c r="G69" s="3">
        <v>112.5</v>
      </c>
      <c r="H69" s="3">
        <v>737.5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SearchBox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A0933</dc:creator>
  <cp:lastModifiedBy>hp</cp:lastModifiedBy>
  <dcterms:created xsi:type="dcterms:W3CDTF">2025-10-27T10:12:20Z</dcterms:created>
  <dcterms:modified xsi:type="dcterms:W3CDTF">2025-11-03T14:01:09Z</dcterms:modified>
</cp:coreProperties>
</file>